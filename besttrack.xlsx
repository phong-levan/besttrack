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lephong\besttrack\"/>
    </mc:Choice>
  </mc:AlternateContent>
  <xr:revisionPtr revIDLastSave="0" documentId="13_ncr:1_{0AE4D28E-3660-4672-8B49-45C7C8C482AD}" xr6:coauthVersionLast="41" xr6:coauthVersionMax="41" xr10:uidLastSave="{00000000-0000-0000-0000-000000000000}"/>
  <bookViews>
    <workbookView xWindow="-108" yWindow="-108" windowWidth="23256" windowHeight="13176" xr2:uid="{200DFEE9-A2E4-4DBE-B923-F59063FDB9E4}"/>
  </bookViews>
  <sheets>
    <sheet name="Sheet1" sheetId="1" r:id="rId1"/>
    <sheet name="Thang_BF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2" i="1" l="1"/>
  <c r="K50" i="1"/>
  <c r="K51" i="1"/>
  <c r="K52" i="1"/>
  <c r="K53" i="1"/>
  <c r="K54" i="1"/>
  <c r="K55" i="1"/>
  <c r="K56" i="1"/>
  <c r="I51" i="1"/>
  <c r="H51" i="1" s="1"/>
  <c r="I52" i="1"/>
  <c r="H52" i="1" s="1"/>
  <c r="I53" i="1"/>
  <c r="H53" i="1" s="1"/>
  <c r="I54" i="1"/>
  <c r="H54" i="1" s="1"/>
  <c r="I55" i="1"/>
  <c r="H55" i="1" s="1"/>
  <c r="I56" i="1"/>
  <c r="H56" i="1" s="1"/>
  <c r="B53" i="1"/>
  <c r="B54" i="1"/>
  <c r="B55" i="1"/>
  <c r="B56" i="1"/>
  <c r="J49" i="1"/>
  <c r="O55" i="1" l="1"/>
  <c r="O54" i="1"/>
  <c r="O53" i="1"/>
  <c r="I50" i="1"/>
  <c r="H50" i="1" s="1"/>
  <c r="K44" i="1"/>
  <c r="K45" i="1"/>
  <c r="K46" i="1"/>
  <c r="K47" i="1"/>
  <c r="K48" i="1"/>
  <c r="K49" i="1"/>
  <c r="I49" i="1"/>
  <c r="H49" i="1" s="1"/>
  <c r="B50" i="1"/>
  <c r="B51" i="1"/>
  <c r="B52" i="1"/>
  <c r="J48" i="1"/>
  <c r="I48" i="1" s="1"/>
  <c r="H48" i="1" s="1"/>
  <c r="I45" i="1"/>
  <c r="H45" i="1" s="1"/>
  <c r="B45" i="1"/>
  <c r="B46" i="1"/>
  <c r="B47" i="1"/>
  <c r="B48" i="1"/>
  <c r="B49" i="1"/>
  <c r="I47" i="1"/>
  <c r="H47" i="1" s="1"/>
  <c r="I46" i="1"/>
  <c r="H46" i="1" s="1"/>
  <c r="K38" i="1"/>
  <c r="K39" i="1"/>
  <c r="K40" i="1"/>
  <c r="K41" i="1"/>
  <c r="K42" i="1"/>
  <c r="K43" i="1"/>
  <c r="I44" i="1"/>
  <c r="H44" i="1" s="1"/>
  <c r="B44" i="1"/>
  <c r="I2" i="1"/>
  <c r="H2" i="1" s="1"/>
  <c r="I43" i="1"/>
  <c r="H43" i="1" s="1"/>
  <c r="K37" i="1" l="1"/>
  <c r="I41" i="1"/>
  <c r="H41" i="1" s="1"/>
  <c r="I42" i="1"/>
  <c r="H42" i="1" s="1"/>
  <c r="B43" i="1"/>
  <c r="B42" i="1"/>
  <c r="B41" i="1"/>
  <c r="K36" i="1" l="1"/>
  <c r="I39" i="1" l="1"/>
  <c r="H39" i="1" s="1"/>
  <c r="I40" i="1"/>
  <c r="H40" i="1" s="1"/>
  <c r="I3" i="1"/>
  <c r="H3" i="1" s="1"/>
  <c r="I4" i="1"/>
  <c r="H4" i="1" s="1"/>
  <c r="I5" i="1"/>
  <c r="H5" i="1" s="1"/>
  <c r="I6" i="1"/>
  <c r="H6" i="1" s="1"/>
  <c r="I7" i="1"/>
  <c r="H7" i="1" s="1"/>
  <c r="I8" i="1"/>
  <c r="H8" i="1" s="1"/>
  <c r="I9" i="1"/>
  <c r="H9" i="1" s="1"/>
  <c r="I10" i="1"/>
  <c r="H10" i="1" s="1"/>
  <c r="I11" i="1"/>
  <c r="H11" i="1" s="1"/>
  <c r="I12" i="1"/>
  <c r="H12" i="1" s="1"/>
  <c r="I13" i="1"/>
  <c r="H13" i="1" s="1"/>
  <c r="I14" i="1"/>
  <c r="H14" i="1" s="1"/>
  <c r="I15" i="1"/>
  <c r="H15" i="1" s="1"/>
  <c r="I16" i="1"/>
  <c r="H16" i="1" s="1"/>
  <c r="I17" i="1"/>
  <c r="H17" i="1" s="1"/>
  <c r="I18" i="1"/>
  <c r="H18" i="1" s="1"/>
  <c r="I19" i="1"/>
  <c r="H19" i="1" s="1"/>
  <c r="I20" i="1"/>
  <c r="H20" i="1" s="1"/>
  <c r="I21" i="1"/>
  <c r="H21" i="1" s="1"/>
  <c r="I22" i="1"/>
  <c r="H22" i="1" s="1"/>
  <c r="I23" i="1"/>
  <c r="H23" i="1" s="1"/>
  <c r="I24" i="1"/>
  <c r="H24" i="1" s="1"/>
  <c r="I25" i="1"/>
  <c r="H25" i="1" s="1"/>
  <c r="I26" i="1"/>
  <c r="H26" i="1" s="1"/>
  <c r="I27" i="1"/>
  <c r="H27" i="1" s="1"/>
  <c r="I28" i="1"/>
  <c r="H28" i="1" s="1"/>
  <c r="I29" i="1"/>
  <c r="H29" i="1" s="1"/>
  <c r="I30" i="1"/>
  <c r="H30" i="1" s="1"/>
  <c r="I31" i="1"/>
  <c r="H31" i="1" s="1"/>
  <c r="I32" i="1"/>
  <c r="H32" i="1" s="1"/>
  <c r="I33" i="1"/>
  <c r="H33" i="1" s="1"/>
  <c r="I34" i="1"/>
  <c r="H34" i="1" s="1"/>
  <c r="I35" i="1"/>
  <c r="H35" i="1" s="1"/>
  <c r="I37" i="1"/>
  <c r="H37" i="1" s="1"/>
  <c r="I38" i="1"/>
  <c r="H38" i="1" s="1"/>
  <c r="J36" i="1"/>
  <c r="I36" i="1" s="1"/>
  <c r="H36" i="1" s="1"/>
  <c r="K8" i="1"/>
  <c r="K33" i="1" l="1"/>
  <c r="K34" i="1"/>
  <c r="K35" i="1"/>
  <c r="B35" i="1"/>
  <c r="B36" i="1"/>
  <c r="B37" i="1"/>
  <c r="B38" i="1"/>
  <c r="B39" i="1"/>
  <c r="K30" i="1" l="1"/>
  <c r="K31" i="1"/>
  <c r="K32" i="1"/>
  <c r="K29" i="1"/>
  <c r="B31" i="1"/>
  <c r="B32" i="1"/>
  <c r="B33" i="1"/>
  <c r="B34" i="1"/>
  <c r="B40" i="1"/>
  <c r="K23" i="1" l="1"/>
  <c r="K24" i="1"/>
  <c r="K25" i="1"/>
  <c r="K26" i="1"/>
  <c r="K27" i="1"/>
  <c r="K28" i="1"/>
  <c r="K22" i="1"/>
  <c r="B27" i="1"/>
  <c r="B28" i="1"/>
  <c r="B29" i="1"/>
  <c r="B30" i="1"/>
  <c r="K21" i="1" l="1"/>
  <c r="K20" i="1"/>
  <c r="B21" i="1"/>
  <c r="B22" i="1"/>
  <c r="B23" i="1"/>
  <c r="B24" i="1"/>
  <c r="B25" i="1"/>
  <c r="B26" i="1"/>
  <c r="K14" i="1"/>
  <c r="K15" i="1"/>
  <c r="K16" i="1"/>
  <c r="K17" i="1"/>
  <c r="K18" i="1"/>
  <c r="K19" i="1"/>
  <c r="B20" i="1" l="1"/>
  <c r="B17" i="1"/>
  <c r="B18" i="1"/>
  <c r="B19" i="1"/>
  <c r="K10" i="1"/>
  <c r="K11" i="1"/>
  <c r="K12" i="1"/>
  <c r="K13" i="1"/>
  <c r="B12" i="1" l="1"/>
  <c r="B13" i="1"/>
  <c r="B14" i="1"/>
  <c r="B15" i="1"/>
  <c r="B16" i="1"/>
  <c r="B10" i="1"/>
  <c r="B11" i="1"/>
  <c r="K5" i="1"/>
  <c r="K6" i="1"/>
  <c r="K7" i="1"/>
  <c r="K9" i="1"/>
  <c r="K4" i="1"/>
  <c r="B4" i="1"/>
  <c r="K3" i="1" l="1"/>
  <c r="K2" i="1"/>
  <c r="B2" i="1"/>
  <c r="B3" i="1" l="1"/>
  <c r="B5" i="1"/>
  <c r="B6" i="1"/>
  <c r="B7" i="1"/>
  <c r="B8" i="1"/>
  <c r="B9" i="1"/>
</calcChain>
</file>

<file path=xl/sharedStrings.xml><?xml version="1.0" encoding="utf-8"?>
<sst xmlns="http://schemas.openxmlformats.org/spreadsheetml/2006/main" count="437" uniqueCount="39">
  <si>
    <t>lat</t>
  </si>
  <si>
    <t>lon</t>
  </si>
  <si>
    <t>trạng thái</t>
  </si>
  <si>
    <t>tốc độ di chuyển (km/h)</t>
  </si>
  <si>
    <t>ngày</t>
  </si>
  <si>
    <t>tháng</t>
  </si>
  <si>
    <t>thời gian (giờ)</t>
  </si>
  <si>
    <t>TS</t>
  </si>
  <si>
    <t>cường độ (cấp BF)</t>
  </si>
  <si>
    <t>hướng di chuyển</t>
  </si>
  <si>
    <t>STS</t>
  </si>
  <si>
    <t>TY</t>
  </si>
  <si>
    <t>Thời điểm</t>
  </si>
  <si>
    <t>bán kính gió mạnh cấp 6 (km)</t>
  </si>
  <si>
    <t>bán kính gió mạnh cấp 10 (km)</t>
  </si>
  <si>
    <t>bán kính tâm (km)</t>
  </si>
  <si>
    <t>Pmin (mb)</t>
  </si>
  <si>
    <t>Vmax (km/h)</t>
  </si>
  <si>
    <t>Ngày - giờ</t>
  </si>
  <si>
    <t>dự báo</t>
  </si>
  <si>
    <t>tây tây bắc</t>
  </si>
  <si>
    <t>quá khứ</t>
  </si>
  <si>
    <t>hiện tại</t>
  </si>
  <si>
    <t>STY</t>
  </si>
  <si>
    <t>vungthap</t>
  </si>
  <si>
    <t>TD</t>
  </si>
  <si>
    <t>cấp</t>
  </si>
  <si>
    <t>Vmax</t>
  </si>
  <si>
    <t>01</t>
  </si>
  <si>
    <t>04</t>
  </si>
  <si>
    <t>07</t>
  </si>
  <si>
    <t>00</t>
  </si>
  <si>
    <t>02</t>
  </si>
  <si>
    <t>03</t>
  </si>
  <si>
    <t>05</t>
  </si>
  <si>
    <t>06</t>
  </si>
  <si>
    <t>08</t>
  </si>
  <si>
    <t>09</t>
  </si>
  <si>
    <t>thang 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</si>
</sst>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quotePrefix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5E4C3-91B7-454B-8189-4F841C1C9E71}">
  <dimension ref="A1:P57"/>
  <sheetViews>
    <sheetView tabSelected="1" topLeftCell="A29" zoomScale="85" zoomScaleNormal="85" workbookViewId="0">
      <selection activeCell="N57" sqref="N57"/>
    </sheetView>
  </sheetViews>
  <sheetFormatPr defaultRowHeight="14.4" x14ac:dyDescent="0.3"/>
  <cols>
    <col min="1" max="1" width="9.109375" bestFit="1" customWidth="1"/>
    <col min="2" max="2" width="10.33203125" bestFit="1" customWidth="1"/>
    <col min="3" max="3" width="12" bestFit="1" customWidth="1"/>
    <col min="4" max="4" width="4.77734375" bestFit="1" customWidth="1"/>
    <col min="5" max="5" width="5.5546875" bestFit="1" customWidth="1"/>
    <col min="6" max="6" width="8.33203125" customWidth="1"/>
    <col min="7" max="7" width="8.5546875" customWidth="1"/>
    <col min="8" max="8" width="8.77734375" bestFit="1" customWidth="1"/>
    <col min="9" max="9" width="21.6640625" customWidth="1"/>
    <col min="10" max="10" width="11.33203125" bestFit="1" customWidth="1"/>
    <col min="11" max="11" width="20.44140625" bestFit="1" customWidth="1"/>
    <col min="12" max="12" width="14.44140625" bestFit="1" customWidth="1"/>
    <col min="13" max="13" width="9.109375" bestFit="1" customWidth="1"/>
    <col min="14" max="14" width="24.77734375" bestFit="1" customWidth="1"/>
    <col min="15" max="15" width="25.88671875" bestFit="1" customWidth="1"/>
    <col min="16" max="16" width="15.5546875" bestFit="1" customWidth="1"/>
  </cols>
  <sheetData>
    <row r="1" spans="1:16" x14ac:dyDescent="0.3">
      <c r="A1" t="s">
        <v>12</v>
      </c>
      <c r="B1" t="s">
        <v>18</v>
      </c>
      <c r="C1" t="s">
        <v>6</v>
      </c>
      <c r="D1" t="s">
        <v>4</v>
      </c>
      <c r="E1" t="s">
        <v>5</v>
      </c>
      <c r="F1" t="s">
        <v>0</v>
      </c>
      <c r="G1" t="s">
        <v>1</v>
      </c>
      <c r="H1" t="s">
        <v>2</v>
      </c>
      <c r="I1" t="s">
        <v>8</v>
      </c>
      <c r="J1" t="s">
        <v>17</v>
      </c>
      <c r="K1" t="s">
        <v>3</v>
      </c>
      <c r="L1" t="s">
        <v>9</v>
      </c>
      <c r="M1" t="s">
        <v>16</v>
      </c>
      <c r="N1" t="s">
        <v>13</v>
      </c>
      <c r="O1" t="s">
        <v>14</v>
      </c>
      <c r="P1" t="s">
        <v>15</v>
      </c>
    </row>
    <row r="2" spans="1:16" x14ac:dyDescent="0.3">
      <c r="A2" t="s">
        <v>21</v>
      </c>
      <c r="B2" t="str">
        <f>TEXT(D2,"00")&amp;"/"&amp;TEXT(E2,"00")&amp;" - "&amp;C2&amp;"h"</f>
        <v>04/11 - 01h</v>
      </c>
      <c r="C2" s="3" t="s">
        <v>28</v>
      </c>
      <c r="D2">
        <v>4</v>
      </c>
      <c r="E2">
        <v>11</v>
      </c>
      <c r="F2">
        <v>8.1</v>
      </c>
      <c r="G2">
        <v>147.80000000000001</v>
      </c>
      <c r="H2" t="str">
        <f>INDEX(Thang_BF!$A$2:$A$223, MATCH(I2, Thang_BF!$B$2:$B$223, 0))</f>
        <v>vungthap</v>
      </c>
      <c r="I2" s="4" t="str">
        <f>INDEX(Thang_BF!$B$2:$B$223, MATCH(J2, Thang_BF!$C$2:$C$223, 0))</f>
        <v>05</v>
      </c>
      <c r="J2" s="1">
        <v>30</v>
      </c>
      <c r="K2" s="1">
        <f>(G2-G3)*111/3</f>
        <v>11.100000000000421</v>
      </c>
      <c r="L2" t="s">
        <v>20</v>
      </c>
      <c r="M2">
        <v>1004</v>
      </c>
    </row>
    <row r="3" spans="1:16" x14ac:dyDescent="0.3">
      <c r="A3" t="s">
        <v>21</v>
      </c>
      <c r="B3" t="str">
        <f t="shared" ref="B3:B36" si="0">TEXT(D3,"00")&amp;"/"&amp;TEXT(E3,"00")&amp;" - "&amp;C3&amp;"h"</f>
        <v>04/11 - 04h</v>
      </c>
      <c r="C3" s="3" t="s">
        <v>29</v>
      </c>
      <c r="D3">
        <v>4</v>
      </c>
      <c r="E3">
        <v>11</v>
      </c>
      <c r="F3">
        <v>8.1</v>
      </c>
      <c r="G3">
        <v>147.5</v>
      </c>
      <c r="H3" t="str">
        <f>INDEX(Thang_BF!$A$2:$A$223, MATCH(I3, Thang_BF!$B$2:$B$223, 0))</f>
        <v>vungthap</v>
      </c>
      <c r="I3" s="4" t="str">
        <f>INDEX(Thang_BF!$B$2:$B$223, MATCH(J3, Thang_BF!$C$2:$C$223, 0))</f>
        <v>05</v>
      </c>
      <c r="J3" s="1">
        <v>30</v>
      </c>
      <c r="K3" s="1">
        <f t="shared" ref="K3" si="1">(G3-G4)*111/3</f>
        <v>40.69999999999979</v>
      </c>
      <c r="L3" t="s">
        <v>20</v>
      </c>
      <c r="M3">
        <v>1004</v>
      </c>
    </row>
    <row r="4" spans="1:16" x14ac:dyDescent="0.3">
      <c r="A4" t="s">
        <v>21</v>
      </c>
      <c r="B4" t="str">
        <f>TEXT(D4,"00")&amp;"/"&amp;TEXT(E4,"00")&amp;" - "&amp;C4&amp;"h"</f>
        <v>04/11 - 07h</v>
      </c>
      <c r="C4" s="3" t="s">
        <v>30</v>
      </c>
      <c r="D4">
        <v>4</v>
      </c>
      <c r="E4">
        <v>11</v>
      </c>
      <c r="F4">
        <v>8.1999999999999993</v>
      </c>
      <c r="G4">
        <v>146.4</v>
      </c>
      <c r="H4" t="str">
        <f>INDEX(Thang_BF!$A$2:$A$223, MATCH(I4, Thang_BF!$B$2:$B$223, 0))</f>
        <v>vungthap</v>
      </c>
      <c r="I4" s="4" t="str">
        <f>INDEX(Thang_BF!$B$2:$B$223, MATCH(J4, Thang_BF!$C$2:$C$223, 0))</f>
        <v>05</v>
      </c>
      <c r="J4" s="1">
        <v>30</v>
      </c>
      <c r="K4" s="1">
        <f>(G4-G5)*111/3</f>
        <v>66.600000000000421</v>
      </c>
      <c r="L4" t="s">
        <v>20</v>
      </c>
      <c r="M4">
        <v>1004</v>
      </c>
    </row>
    <row r="5" spans="1:16" x14ac:dyDescent="0.3">
      <c r="A5" t="s">
        <v>21</v>
      </c>
      <c r="B5" t="str">
        <f t="shared" si="0"/>
        <v>04/11 - 10h</v>
      </c>
      <c r="C5">
        <v>10</v>
      </c>
      <c r="D5">
        <v>4</v>
      </c>
      <c r="E5">
        <v>11</v>
      </c>
      <c r="F5">
        <v>8.5</v>
      </c>
      <c r="G5">
        <v>144.6</v>
      </c>
      <c r="H5" t="str">
        <f>INDEX(Thang_BF!$A$2:$A$223, MATCH(I5, Thang_BF!$B$2:$B$223, 0))</f>
        <v>vungthap</v>
      </c>
      <c r="I5" s="4" t="str">
        <f>INDEX(Thang_BF!$B$2:$B$223, MATCH(J5, Thang_BF!$C$2:$C$223, 0))</f>
        <v>05</v>
      </c>
      <c r="J5" s="1">
        <v>30</v>
      </c>
      <c r="K5" s="1">
        <f t="shared" ref="K5:K20" si="2">(G5-G6)*111/3</f>
        <v>3.6999999999997897</v>
      </c>
      <c r="L5" t="s">
        <v>20</v>
      </c>
      <c r="M5">
        <v>1004</v>
      </c>
    </row>
    <row r="6" spans="1:16" x14ac:dyDescent="0.3">
      <c r="A6" t="s">
        <v>21</v>
      </c>
      <c r="B6" t="str">
        <f t="shared" si="0"/>
        <v>04/11 - 13h</v>
      </c>
      <c r="C6">
        <v>13</v>
      </c>
      <c r="D6">
        <v>4</v>
      </c>
      <c r="E6">
        <v>11</v>
      </c>
      <c r="F6">
        <v>8.6</v>
      </c>
      <c r="G6">
        <v>144.5</v>
      </c>
      <c r="H6" t="str">
        <f>INDEX(Thang_BF!$A$2:$A$223, MATCH(I6, Thang_BF!$B$2:$B$223, 0))</f>
        <v>vungthap</v>
      </c>
      <c r="I6" s="4" t="str">
        <f>INDEX(Thang_BF!$B$2:$B$223, MATCH(J6, Thang_BF!$C$2:$C$223, 0))</f>
        <v>05</v>
      </c>
      <c r="J6" s="1">
        <v>30</v>
      </c>
      <c r="K6" s="1">
        <f t="shared" si="2"/>
        <v>11.100000000000421</v>
      </c>
      <c r="L6" t="s">
        <v>20</v>
      </c>
      <c r="M6">
        <v>1004</v>
      </c>
    </row>
    <row r="7" spans="1:16" x14ac:dyDescent="0.3">
      <c r="A7" t="s">
        <v>21</v>
      </c>
      <c r="B7" t="str">
        <f t="shared" si="0"/>
        <v>04/11 - 16h</v>
      </c>
      <c r="C7">
        <v>16</v>
      </c>
      <c r="D7">
        <v>4</v>
      </c>
      <c r="E7">
        <v>11</v>
      </c>
      <c r="F7">
        <v>8.6</v>
      </c>
      <c r="G7">
        <v>144.19999999999999</v>
      </c>
      <c r="H7" t="str">
        <f>INDEX(Thang_BF!$A$2:$A$223, MATCH(I7, Thang_BF!$B$2:$B$223, 0))</f>
        <v>vungthap</v>
      </c>
      <c r="I7" s="4" t="str">
        <f>INDEX(Thang_BF!$B$2:$B$223, MATCH(J7, Thang_BF!$C$2:$C$223, 0))</f>
        <v>05</v>
      </c>
      <c r="J7" s="1">
        <v>30</v>
      </c>
      <c r="K7" s="1">
        <f t="shared" si="2"/>
        <v>3.6999999999997897</v>
      </c>
      <c r="L7" t="s">
        <v>20</v>
      </c>
      <c r="M7">
        <v>1004</v>
      </c>
    </row>
    <row r="8" spans="1:16" x14ac:dyDescent="0.3">
      <c r="A8" t="s">
        <v>21</v>
      </c>
      <c r="B8" t="str">
        <f t="shared" si="0"/>
        <v>04/11 - 19h</v>
      </c>
      <c r="C8">
        <v>19</v>
      </c>
      <c r="D8">
        <v>4</v>
      </c>
      <c r="E8">
        <v>11</v>
      </c>
      <c r="F8">
        <v>8.1999999999999993</v>
      </c>
      <c r="G8">
        <v>144.1</v>
      </c>
      <c r="H8" t="str">
        <f>INDEX(Thang_BF!$A$2:$A$223, MATCH(I8, Thang_BF!$B$2:$B$223, 0))</f>
        <v>TD</v>
      </c>
      <c r="I8" s="4" t="str">
        <f>INDEX(Thang_BF!$B$2:$B$223, MATCH(J8, Thang_BF!$C$2:$C$223, 0))</f>
        <v>06</v>
      </c>
      <c r="J8" s="1">
        <v>39</v>
      </c>
      <c r="K8" s="1">
        <f>(G8-G9)*111/3</f>
        <v>3.6999999999997897</v>
      </c>
      <c r="L8" t="s">
        <v>20</v>
      </c>
      <c r="M8">
        <v>1002</v>
      </c>
    </row>
    <row r="9" spans="1:16" x14ac:dyDescent="0.3">
      <c r="A9" t="s">
        <v>21</v>
      </c>
      <c r="B9" t="str">
        <f t="shared" si="0"/>
        <v>04/11 - 22h</v>
      </c>
      <c r="C9">
        <v>22</v>
      </c>
      <c r="D9">
        <v>4</v>
      </c>
      <c r="E9">
        <v>11</v>
      </c>
      <c r="F9">
        <v>8.5</v>
      </c>
      <c r="G9">
        <v>144</v>
      </c>
      <c r="H9" t="str">
        <f>INDEX(Thang_BF!$A$2:$A$223, MATCH(I9, Thang_BF!$B$2:$B$223, 0))</f>
        <v>TD</v>
      </c>
      <c r="I9" s="4" t="str">
        <f>INDEX(Thang_BF!$B$2:$B$223, MATCH(J9, Thang_BF!$C$2:$C$223, 0))</f>
        <v>06</v>
      </c>
      <c r="J9" s="1">
        <v>39</v>
      </c>
      <c r="K9" s="1">
        <f t="shared" si="2"/>
        <v>7.3999999999995794</v>
      </c>
      <c r="L9" t="s">
        <v>20</v>
      </c>
      <c r="M9">
        <v>1002</v>
      </c>
    </row>
    <row r="10" spans="1:16" x14ac:dyDescent="0.3">
      <c r="A10" t="s">
        <v>21</v>
      </c>
      <c r="B10" t="str">
        <f t="shared" si="0"/>
        <v>05/11 - 01h</v>
      </c>
      <c r="C10" s="3" t="s">
        <v>28</v>
      </c>
      <c r="D10">
        <v>5</v>
      </c>
      <c r="E10">
        <v>11</v>
      </c>
      <c r="F10">
        <v>8.3000000000000007</v>
      </c>
      <c r="G10">
        <v>143.80000000000001</v>
      </c>
      <c r="H10" t="str">
        <f>INDEX(Thang_BF!$A$2:$A$223, MATCH(I10, Thang_BF!$B$2:$B$223, 0))</f>
        <v>TD</v>
      </c>
      <c r="I10" s="4" t="str">
        <f>INDEX(Thang_BF!$B$2:$B$223, MATCH(J10, Thang_BF!$C$2:$C$223, 0))</f>
        <v>06</v>
      </c>
      <c r="J10" s="1">
        <v>45</v>
      </c>
      <c r="K10" s="1">
        <f t="shared" si="2"/>
        <v>11.100000000000421</v>
      </c>
      <c r="L10" t="s">
        <v>20</v>
      </c>
      <c r="M10">
        <v>1002</v>
      </c>
    </row>
    <row r="11" spans="1:16" x14ac:dyDescent="0.3">
      <c r="A11" t="s">
        <v>21</v>
      </c>
      <c r="B11" t="str">
        <f t="shared" si="0"/>
        <v>05/11 - 04h</v>
      </c>
      <c r="C11" s="3" t="s">
        <v>29</v>
      </c>
      <c r="D11">
        <v>5</v>
      </c>
      <c r="E11">
        <v>11</v>
      </c>
      <c r="F11">
        <v>8.4</v>
      </c>
      <c r="G11">
        <v>143.5</v>
      </c>
      <c r="H11" t="str">
        <f>INDEX(Thang_BF!$A$2:$A$223, MATCH(I11, Thang_BF!$B$2:$B$223, 0))</f>
        <v>TD</v>
      </c>
      <c r="I11" s="4" t="str">
        <f>INDEX(Thang_BF!$B$2:$B$223, MATCH(J11, Thang_BF!$C$2:$C$223, 0))</f>
        <v>07</v>
      </c>
      <c r="J11" s="1">
        <v>50</v>
      </c>
      <c r="K11" s="1">
        <f t="shared" si="2"/>
        <v>18.5</v>
      </c>
      <c r="L11" t="s">
        <v>20</v>
      </c>
      <c r="M11">
        <v>1002</v>
      </c>
    </row>
    <row r="12" spans="1:16" x14ac:dyDescent="0.3">
      <c r="A12" t="s">
        <v>21</v>
      </c>
      <c r="B12" t="str">
        <f t="shared" si="0"/>
        <v>05/11 - 07h</v>
      </c>
      <c r="C12" s="3" t="s">
        <v>30</v>
      </c>
      <c r="D12">
        <v>5</v>
      </c>
      <c r="E12">
        <v>11</v>
      </c>
      <c r="F12">
        <v>7.8</v>
      </c>
      <c r="G12">
        <v>143</v>
      </c>
      <c r="H12" t="str">
        <f>INDEX(Thang_BF!$A$2:$A$223, MATCH(I12, Thang_BF!$B$2:$B$223, 0))</f>
        <v>TD</v>
      </c>
      <c r="I12" s="4" t="str">
        <f>INDEX(Thang_BF!$B$2:$B$223, MATCH(J12, Thang_BF!$C$2:$C$223, 0))</f>
        <v>07</v>
      </c>
      <c r="J12" s="1">
        <v>50</v>
      </c>
      <c r="K12" s="1">
        <f t="shared" si="2"/>
        <v>3.6999999999997897</v>
      </c>
      <c r="L12" t="s">
        <v>20</v>
      </c>
      <c r="M12">
        <v>1002</v>
      </c>
    </row>
    <row r="13" spans="1:16" ht="15" customHeight="1" x14ac:dyDescent="0.3">
      <c r="A13" t="s">
        <v>21</v>
      </c>
      <c r="B13" t="str">
        <f t="shared" si="0"/>
        <v>05/11 - 10h</v>
      </c>
      <c r="C13">
        <v>10</v>
      </c>
      <c r="D13">
        <v>5</v>
      </c>
      <c r="E13">
        <v>11</v>
      </c>
      <c r="F13">
        <v>8</v>
      </c>
      <c r="G13">
        <v>142.9</v>
      </c>
      <c r="H13" t="str">
        <f>INDEX(Thang_BF!$A$2:$A$223, MATCH(I13, Thang_BF!$B$2:$B$223, 0))</f>
        <v>TD</v>
      </c>
      <c r="I13" s="4" t="str">
        <f>INDEX(Thang_BF!$B$2:$B$223, MATCH(J13, Thang_BF!$C$2:$C$223, 0))</f>
        <v>07</v>
      </c>
      <c r="J13" s="1">
        <v>56</v>
      </c>
      <c r="K13" s="1">
        <f t="shared" si="2"/>
        <v>7.400000000000631</v>
      </c>
      <c r="L13" t="s">
        <v>20</v>
      </c>
      <c r="M13">
        <v>1002</v>
      </c>
    </row>
    <row r="14" spans="1:16" ht="13.8" customHeight="1" x14ac:dyDescent="0.3">
      <c r="A14" t="s">
        <v>21</v>
      </c>
      <c r="B14" t="str">
        <f t="shared" si="0"/>
        <v>05/11 - 13h</v>
      </c>
      <c r="C14">
        <v>13</v>
      </c>
      <c r="D14">
        <v>5</v>
      </c>
      <c r="E14">
        <v>11</v>
      </c>
      <c r="F14">
        <v>8</v>
      </c>
      <c r="G14">
        <v>142.69999999999999</v>
      </c>
      <c r="H14" t="str">
        <f>INDEX(Thang_BF!$A$2:$A$223, MATCH(I14, Thang_BF!$B$2:$B$223, 0))</f>
        <v>TD</v>
      </c>
      <c r="I14" s="4" t="str">
        <f>INDEX(Thang_BF!$B$2:$B$223, MATCH(J14, Thang_BF!$C$2:$C$223, 0))</f>
        <v>07</v>
      </c>
      <c r="J14" s="1">
        <v>56</v>
      </c>
      <c r="K14" s="1">
        <f t="shared" si="2"/>
        <v>0</v>
      </c>
      <c r="L14" t="s">
        <v>20</v>
      </c>
      <c r="M14">
        <v>1000</v>
      </c>
    </row>
    <row r="15" spans="1:16" x14ac:dyDescent="0.3">
      <c r="A15" t="s">
        <v>21</v>
      </c>
      <c r="B15" t="str">
        <f t="shared" si="0"/>
        <v>05/11 - 16h</v>
      </c>
      <c r="C15">
        <v>16</v>
      </c>
      <c r="D15">
        <v>5</v>
      </c>
      <c r="E15">
        <v>11</v>
      </c>
      <c r="F15">
        <v>8.3000000000000007</v>
      </c>
      <c r="G15">
        <v>142.69999999999999</v>
      </c>
      <c r="H15" t="str">
        <f>INDEX(Thang_BF!$A$2:$A$223, MATCH(I15, Thang_BF!$B$2:$B$223, 0))</f>
        <v>TD</v>
      </c>
      <c r="I15" s="4" t="str">
        <f>INDEX(Thang_BF!$B$2:$B$223, MATCH(J15, Thang_BF!$C$2:$C$223, 0))</f>
        <v>07</v>
      </c>
      <c r="J15" s="1">
        <v>56</v>
      </c>
      <c r="K15" s="1">
        <f t="shared" si="2"/>
        <v>0</v>
      </c>
      <c r="L15" t="s">
        <v>20</v>
      </c>
      <c r="M15">
        <v>1000</v>
      </c>
    </row>
    <row r="16" spans="1:16" x14ac:dyDescent="0.3">
      <c r="A16" t="s">
        <v>21</v>
      </c>
      <c r="B16" t="str">
        <f t="shared" si="0"/>
        <v>05/11 - 19h</v>
      </c>
      <c r="C16">
        <v>19</v>
      </c>
      <c r="D16">
        <v>5</v>
      </c>
      <c r="E16">
        <v>11</v>
      </c>
      <c r="F16">
        <v>9.1999999999999993</v>
      </c>
      <c r="G16">
        <v>142.69999999999999</v>
      </c>
      <c r="H16" t="str">
        <f>INDEX(Thang_BF!$A$2:$A$223, MATCH(I16, Thang_BF!$B$2:$B$223, 0))</f>
        <v>TD</v>
      </c>
      <c r="I16" s="4" t="str">
        <f>INDEX(Thang_BF!$B$2:$B$223, MATCH(J16, Thang_BF!$C$2:$C$223, 0))</f>
        <v>07</v>
      </c>
      <c r="J16" s="1">
        <v>56</v>
      </c>
      <c r="K16" s="1">
        <f t="shared" si="2"/>
        <v>3.6999999999997897</v>
      </c>
      <c r="L16" t="s">
        <v>20</v>
      </c>
      <c r="M16">
        <v>1000</v>
      </c>
    </row>
    <row r="17" spans="1:13" x14ac:dyDescent="0.3">
      <c r="A17" t="s">
        <v>21</v>
      </c>
      <c r="B17" t="str">
        <f t="shared" si="0"/>
        <v>05/11 - 22h</v>
      </c>
      <c r="C17">
        <v>22</v>
      </c>
      <c r="D17">
        <v>5</v>
      </c>
      <c r="E17">
        <v>11</v>
      </c>
      <c r="F17">
        <v>9.1</v>
      </c>
      <c r="G17">
        <v>142.6</v>
      </c>
      <c r="H17" t="str">
        <f>INDEX(Thang_BF!$A$2:$A$223, MATCH(I17, Thang_BF!$B$2:$B$223, 0))</f>
        <v>TD</v>
      </c>
      <c r="I17" s="4" t="str">
        <f>INDEX(Thang_BF!$B$2:$B$223, MATCH(J17, Thang_BF!$C$2:$C$223, 0))</f>
        <v>07</v>
      </c>
      <c r="J17" s="1">
        <v>56</v>
      </c>
      <c r="K17" s="1">
        <f t="shared" si="2"/>
        <v>18.5</v>
      </c>
      <c r="L17" t="s">
        <v>20</v>
      </c>
      <c r="M17">
        <v>1000</v>
      </c>
    </row>
    <row r="18" spans="1:13" x14ac:dyDescent="0.3">
      <c r="A18" t="s">
        <v>21</v>
      </c>
      <c r="B18" t="str">
        <f t="shared" si="0"/>
        <v>06/11 - 01h</v>
      </c>
      <c r="C18" s="3" t="s">
        <v>28</v>
      </c>
      <c r="D18">
        <v>6</v>
      </c>
      <c r="E18">
        <v>11</v>
      </c>
      <c r="F18">
        <v>10.199999999999999</v>
      </c>
      <c r="G18">
        <v>142.1</v>
      </c>
      <c r="H18" t="str">
        <f>INDEX(Thang_BF!$A$2:$A$223, MATCH(I18, Thang_BF!$B$2:$B$223, 0))</f>
        <v>TS</v>
      </c>
      <c r="I18" s="4" t="str">
        <f>INDEX(Thang_BF!$B$2:$B$223, MATCH(J18, Thang_BF!$C$2:$C$223, 0))</f>
        <v>08</v>
      </c>
      <c r="J18" s="1">
        <v>65</v>
      </c>
      <c r="K18" s="1">
        <f t="shared" si="2"/>
        <v>14.80000000000021</v>
      </c>
      <c r="L18" t="s">
        <v>20</v>
      </c>
      <c r="M18">
        <v>998</v>
      </c>
    </row>
    <row r="19" spans="1:13" x14ac:dyDescent="0.3">
      <c r="A19" t="s">
        <v>21</v>
      </c>
      <c r="B19" t="str">
        <f t="shared" si="0"/>
        <v>06/11 - 04h</v>
      </c>
      <c r="C19" s="3" t="s">
        <v>29</v>
      </c>
      <c r="D19">
        <v>6</v>
      </c>
      <c r="E19">
        <v>11</v>
      </c>
      <c r="F19">
        <v>10.3</v>
      </c>
      <c r="G19">
        <v>141.69999999999999</v>
      </c>
      <c r="H19" t="str">
        <f>INDEX(Thang_BF!$A$2:$A$223, MATCH(I19, Thang_BF!$B$2:$B$223, 0))</f>
        <v>TS</v>
      </c>
      <c r="I19" s="4" t="str">
        <f>INDEX(Thang_BF!$B$2:$B$223, MATCH(J19, Thang_BF!$C$2:$C$223, 0))</f>
        <v>08</v>
      </c>
      <c r="J19" s="1">
        <v>65</v>
      </c>
      <c r="K19" s="1">
        <f t="shared" si="2"/>
        <v>18.5</v>
      </c>
      <c r="L19" t="s">
        <v>20</v>
      </c>
      <c r="M19">
        <v>998</v>
      </c>
    </row>
    <row r="20" spans="1:13" x14ac:dyDescent="0.3">
      <c r="A20" t="s">
        <v>21</v>
      </c>
      <c r="B20" t="str">
        <f t="shared" si="0"/>
        <v>06/11 - 07h</v>
      </c>
      <c r="C20" s="3" t="s">
        <v>30</v>
      </c>
      <c r="D20">
        <v>6</v>
      </c>
      <c r="E20">
        <v>11</v>
      </c>
      <c r="F20">
        <v>10.4</v>
      </c>
      <c r="G20">
        <v>141.19999999999999</v>
      </c>
      <c r="H20" t="str">
        <f>INDEX(Thang_BF!$A$2:$A$223, MATCH(I20, Thang_BF!$B$2:$B$223, 0))</f>
        <v>TS</v>
      </c>
      <c r="I20" s="4" t="str">
        <f>INDEX(Thang_BF!$B$2:$B$223, MATCH(J20, Thang_BF!$C$2:$C$223, 0))</f>
        <v>08</v>
      </c>
      <c r="J20" s="1">
        <v>74</v>
      </c>
      <c r="K20" s="1">
        <f t="shared" si="2"/>
        <v>29.599999999999369</v>
      </c>
      <c r="L20" t="s">
        <v>20</v>
      </c>
      <c r="M20">
        <v>994</v>
      </c>
    </row>
    <row r="21" spans="1:13" x14ac:dyDescent="0.3">
      <c r="A21" t="s">
        <v>21</v>
      </c>
      <c r="B21" t="str">
        <f t="shared" si="0"/>
        <v>06/11 - 10h</v>
      </c>
      <c r="C21">
        <v>10</v>
      </c>
      <c r="D21">
        <v>6</v>
      </c>
      <c r="E21">
        <v>11</v>
      </c>
      <c r="F21">
        <v>10.199999999999999</v>
      </c>
      <c r="G21">
        <v>140.4</v>
      </c>
      <c r="H21" t="str">
        <f>INDEX(Thang_BF!$A$2:$A$223, MATCH(I21, Thang_BF!$B$2:$B$223, 0))</f>
        <v>TS</v>
      </c>
      <c r="I21" s="4" t="str">
        <f>INDEX(Thang_BF!$B$2:$B$223, MATCH(J21, Thang_BF!$C$2:$C$223, 0))</f>
        <v>08</v>
      </c>
      <c r="J21" s="1">
        <v>74</v>
      </c>
      <c r="K21" s="1">
        <f>(G21-G22)*111/3</f>
        <v>22.19999999999979</v>
      </c>
      <c r="L21" t="s">
        <v>20</v>
      </c>
      <c r="M21">
        <v>994</v>
      </c>
    </row>
    <row r="22" spans="1:13" x14ac:dyDescent="0.3">
      <c r="A22" t="s">
        <v>21</v>
      </c>
      <c r="B22" t="str">
        <f t="shared" si="0"/>
        <v>06/11 - 13h</v>
      </c>
      <c r="C22">
        <v>13</v>
      </c>
      <c r="D22">
        <v>6</v>
      </c>
      <c r="E22">
        <v>11</v>
      </c>
      <c r="F22">
        <v>10.199999999999999</v>
      </c>
      <c r="G22">
        <v>139.80000000000001</v>
      </c>
      <c r="H22" t="str">
        <f>INDEX(Thang_BF!$A$2:$A$223, MATCH(I22, Thang_BF!$B$2:$B$223, 0))</f>
        <v>TS</v>
      </c>
      <c r="I22" s="4" t="str">
        <f>INDEX(Thang_BF!$B$2:$B$223, MATCH(J22, Thang_BF!$C$2:$C$223, 0))</f>
        <v>08</v>
      </c>
      <c r="J22" s="1">
        <v>74</v>
      </c>
      <c r="K22" s="1">
        <f>(G22-G23)*111/3</f>
        <v>7.400000000000631</v>
      </c>
      <c r="L22" t="s">
        <v>20</v>
      </c>
      <c r="M22">
        <v>994</v>
      </c>
    </row>
    <row r="23" spans="1:13" x14ac:dyDescent="0.3">
      <c r="A23" t="s">
        <v>21</v>
      </c>
      <c r="B23" t="str">
        <f t="shared" si="0"/>
        <v>06/11 - 16h</v>
      </c>
      <c r="C23">
        <v>16</v>
      </c>
      <c r="D23">
        <v>6</v>
      </c>
      <c r="E23">
        <v>11</v>
      </c>
      <c r="F23">
        <v>10.1</v>
      </c>
      <c r="G23">
        <v>139.6</v>
      </c>
      <c r="H23" t="str">
        <f>INDEX(Thang_BF!$A$2:$A$223, MATCH(I23, Thang_BF!$B$2:$B$223, 0))</f>
        <v>TS</v>
      </c>
      <c r="I23" s="4" t="str">
        <f>INDEX(Thang_BF!$B$2:$B$223, MATCH(J23, Thang_BF!$C$2:$C$223, 0))</f>
        <v>08</v>
      </c>
      <c r="J23" s="1">
        <v>74</v>
      </c>
      <c r="K23" s="1">
        <f t="shared" ref="K23:K55" si="3">(G23-G24)*111/3</f>
        <v>7.3999999999995794</v>
      </c>
      <c r="L23" t="s">
        <v>20</v>
      </c>
      <c r="M23">
        <v>994</v>
      </c>
    </row>
    <row r="24" spans="1:13" x14ac:dyDescent="0.3">
      <c r="A24" t="s">
        <v>21</v>
      </c>
      <c r="B24" t="str">
        <f t="shared" si="0"/>
        <v>06/11 - 19h</v>
      </c>
      <c r="C24">
        <v>19</v>
      </c>
      <c r="D24">
        <v>6</v>
      </c>
      <c r="E24">
        <v>11</v>
      </c>
      <c r="F24">
        <v>10.5</v>
      </c>
      <c r="G24">
        <v>139.4</v>
      </c>
      <c r="H24" t="str">
        <f>INDEX(Thang_BF!$A$2:$A$223, MATCH(I24, Thang_BF!$B$2:$B$223, 0))</f>
        <v>STS</v>
      </c>
      <c r="I24">
        <f>INDEX(Thang_BF!$B$2:$B$223, MATCH(J24, Thang_BF!$C$2:$C$223, 0))</f>
        <v>10</v>
      </c>
      <c r="J24" s="1">
        <v>93</v>
      </c>
      <c r="K24" s="1">
        <f t="shared" si="3"/>
        <v>14.80000000000021</v>
      </c>
      <c r="L24" t="s">
        <v>20</v>
      </c>
      <c r="M24">
        <v>985</v>
      </c>
    </row>
    <row r="25" spans="1:13" x14ac:dyDescent="0.3">
      <c r="A25" t="s">
        <v>21</v>
      </c>
      <c r="B25" t="str">
        <f t="shared" si="0"/>
        <v>06/11 - 22h</v>
      </c>
      <c r="C25">
        <v>22</v>
      </c>
      <c r="D25">
        <v>6</v>
      </c>
      <c r="E25">
        <v>11</v>
      </c>
      <c r="F25">
        <v>10.7</v>
      </c>
      <c r="G25">
        <v>139</v>
      </c>
      <c r="H25" t="str">
        <f>INDEX(Thang_BF!$A$2:$A$223, MATCH(I25, Thang_BF!$B$2:$B$223, 0))</f>
        <v>STS</v>
      </c>
      <c r="I25">
        <f>INDEX(Thang_BF!$B$2:$B$223, MATCH(J25, Thang_BF!$C$2:$C$223, 0))</f>
        <v>10</v>
      </c>
      <c r="J25" s="1">
        <v>93</v>
      </c>
      <c r="K25" s="1">
        <f t="shared" si="3"/>
        <v>3.6999999999997897</v>
      </c>
      <c r="L25" t="s">
        <v>20</v>
      </c>
      <c r="M25">
        <v>985</v>
      </c>
    </row>
    <row r="26" spans="1:13" x14ac:dyDescent="0.3">
      <c r="A26" t="s">
        <v>21</v>
      </c>
      <c r="B26" t="str">
        <f t="shared" si="0"/>
        <v>07/11 - 01h</v>
      </c>
      <c r="C26" s="3" t="s">
        <v>28</v>
      </c>
      <c r="D26">
        <v>7</v>
      </c>
      <c r="E26">
        <v>11</v>
      </c>
      <c r="F26">
        <v>11</v>
      </c>
      <c r="G26">
        <v>138.9</v>
      </c>
      <c r="H26" t="str">
        <f>INDEX(Thang_BF!$A$2:$A$223, MATCH(I26, Thang_BF!$B$2:$B$223, 0))</f>
        <v>STS</v>
      </c>
      <c r="I26">
        <f>INDEX(Thang_BF!$B$2:$B$223, MATCH(J26, Thang_BF!$C$2:$C$223, 0))</f>
        <v>10</v>
      </c>
      <c r="J26" s="1">
        <v>102</v>
      </c>
      <c r="K26" s="1">
        <f t="shared" si="3"/>
        <v>7.400000000000631</v>
      </c>
      <c r="L26" t="s">
        <v>20</v>
      </c>
      <c r="M26">
        <v>980</v>
      </c>
    </row>
    <row r="27" spans="1:13" x14ac:dyDescent="0.3">
      <c r="A27" t="s">
        <v>21</v>
      </c>
      <c r="B27" t="str">
        <f t="shared" si="0"/>
        <v>07/11 - 04h</v>
      </c>
      <c r="C27" s="3" t="s">
        <v>29</v>
      </c>
      <c r="D27">
        <v>7</v>
      </c>
      <c r="E27">
        <v>11</v>
      </c>
      <c r="F27">
        <v>11.3</v>
      </c>
      <c r="G27" s="2">
        <v>138.69999999999999</v>
      </c>
      <c r="H27" t="str">
        <f>INDEX(Thang_BF!$A$2:$A$223, MATCH(I27, Thang_BF!$B$2:$B$223, 0))</f>
        <v>STS</v>
      </c>
      <c r="I27">
        <f>INDEX(Thang_BF!$B$2:$B$223, MATCH(J27, Thang_BF!$C$2:$C$223, 0))</f>
        <v>11</v>
      </c>
      <c r="J27" s="1">
        <v>111</v>
      </c>
      <c r="K27" s="1">
        <f t="shared" si="3"/>
        <v>18.5</v>
      </c>
      <c r="L27" t="s">
        <v>20</v>
      </c>
      <c r="M27">
        <v>975</v>
      </c>
    </row>
    <row r="28" spans="1:13" x14ac:dyDescent="0.3">
      <c r="A28" t="s">
        <v>21</v>
      </c>
      <c r="B28" t="str">
        <f t="shared" si="0"/>
        <v>07/11 - 07h</v>
      </c>
      <c r="C28" s="3" t="s">
        <v>30</v>
      </c>
      <c r="D28">
        <v>7</v>
      </c>
      <c r="E28">
        <v>11</v>
      </c>
      <c r="F28">
        <v>11.5</v>
      </c>
      <c r="G28" s="2">
        <v>138.19999999999999</v>
      </c>
      <c r="H28" t="str">
        <f>INDEX(Thang_BF!$A$2:$A$223, MATCH(I28, Thang_BF!$B$2:$B$223, 0))</f>
        <v>STS</v>
      </c>
      <c r="I28">
        <f>INDEX(Thang_BF!$B$2:$B$223, MATCH(J28, Thang_BF!$C$2:$C$223, 0))</f>
        <v>11</v>
      </c>
      <c r="J28" s="1">
        <v>111</v>
      </c>
      <c r="K28" s="1">
        <f t="shared" si="3"/>
        <v>25.899999999999579</v>
      </c>
      <c r="L28" t="s">
        <v>20</v>
      </c>
      <c r="M28">
        <v>975</v>
      </c>
    </row>
    <row r="29" spans="1:13" x14ac:dyDescent="0.3">
      <c r="A29" t="s">
        <v>21</v>
      </c>
      <c r="B29" t="str">
        <f t="shared" si="0"/>
        <v>07/11 - 10h</v>
      </c>
      <c r="C29">
        <v>10</v>
      </c>
      <c r="D29">
        <v>7</v>
      </c>
      <c r="E29">
        <v>11</v>
      </c>
      <c r="F29">
        <v>11.7</v>
      </c>
      <c r="G29" s="2">
        <v>137.5</v>
      </c>
      <c r="H29" t="str">
        <f>INDEX(Thang_BF!$A$2:$A$223, MATCH(I29, Thang_BF!$B$2:$B$223, 0))</f>
        <v>STS</v>
      </c>
      <c r="I29">
        <f>INDEX(Thang_BF!$B$2:$B$223, MATCH(J29, Thang_BF!$C$2:$C$223, 0))</f>
        <v>11</v>
      </c>
      <c r="J29">
        <v>111</v>
      </c>
      <c r="K29" s="1">
        <f t="shared" si="3"/>
        <v>33.30000000000021</v>
      </c>
      <c r="L29" t="s">
        <v>20</v>
      </c>
      <c r="M29">
        <v>975</v>
      </c>
    </row>
    <row r="30" spans="1:13" x14ac:dyDescent="0.3">
      <c r="A30" t="s">
        <v>21</v>
      </c>
      <c r="B30" t="str">
        <f t="shared" si="0"/>
        <v>07/11 - 13h</v>
      </c>
      <c r="C30">
        <v>13</v>
      </c>
      <c r="D30">
        <v>7</v>
      </c>
      <c r="E30">
        <v>11</v>
      </c>
      <c r="F30">
        <v>11.7</v>
      </c>
      <c r="G30" s="2">
        <v>136.6</v>
      </c>
      <c r="H30" t="str">
        <f>INDEX(Thang_BF!$A$2:$A$223, MATCH(I30, Thang_BF!$B$2:$B$223, 0))</f>
        <v>STS</v>
      </c>
      <c r="I30">
        <f>INDEX(Thang_BF!$B$2:$B$223, MATCH(J30, Thang_BF!$C$2:$C$223, 0))</f>
        <v>11</v>
      </c>
      <c r="J30">
        <v>111</v>
      </c>
      <c r="K30" s="1">
        <f t="shared" si="3"/>
        <v>18.5</v>
      </c>
      <c r="L30" t="s">
        <v>20</v>
      </c>
      <c r="M30">
        <v>975</v>
      </c>
    </row>
    <row r="31" spans="1:13" x14ac:dyDescent="0.3">
      <c r="A31" t="s">
        <v>21</v>
      </c>
      <c r="B31" t="str">
        <f t="shared" si="0"/>
        <v>07/11 - 16h</v>
      </c>
      <c r="C31">
        <v>16</v>
      </c>
      <c r="D31">
        <v>7</v>
      </c>
      <c r="E31">
        <v>11</v>
      </c>
      <c r="F31">
        <v>11.9</v>
      </c>
      <c r="G31" s="2">
        <v>136.1</v>
      </c>
      <c r="H31" t="str">
        <f>INDEX(Thang_BF!$A$2:$A$223, MATCH(I31, Thang_BF!$B$2:$B$223, 0))</f>
        <v>STS</v>
      </c>
      <c r="I31">
        <f>INDEX(Thang_BF!$B$2:$B$223, MATCH(J31, Thang_BF!$C$2:$C$223, 0))</f>
        <v>11</v>
      </c>
      <c r="J31">
        <v>111</v>
      </c>
      <c r="K31" s="1">
        <f t="shared" si="3"/>
        <v>22.19999999999979</v>
      </c>
      <c r="L31" t="s">
        <v>20</v>
      </c>
      <c r="M31">
        <v>975</v>
      </c>
    </row>
    <row r="32" spans="1:13" x14ac:dyDescent="0.3">
      <c r="A32" t="s">
        <v>21</v>
      </c>
      <c r="B32" t="str">
        <f t="shared" si="0"/>
        <v>07/11 - 19h</v>
      </c>
      <c r="C32">
        <v>19</v>
      </c>
      <c r="D32">
        <v>7</v>
      </c>
      <c r="E32">
        <v>11</v>
      </c>
      <c r="F32">
        <v>12</v>
      </c>
      <c r="G32" s="2">
        <v>135.5</v>
      </c>
      <c r="H32" t="str">
        <f>INDEX(Thang_BF!$A$2:$A$223, MATCH(I32, Thang_BF!$B$2:$B$223, 0))</f>
        <v>STS</v>
      </c>
      <c r="I32">
        <f>INDEX(Thang_BF!$B$2:$B$223, MATCH(J32, Thang_BF!$C$2:$C$223, 0))</f>
        <v>11</v>
      </c>
      <c r="J32">
        <v>111</v>
      </c>
      <c r="K32" s="1">
        <f t="shared" si="3"/>
        <v>25.899999999999579</v>
      </c>
      <c r="L32" t="s">
        <v>20</v>
      </c>
      <c r="M32">
        <v>975</v>
      </c>
    </row>
    <row r="33" spans="1:13" x14ac:dyDescent="0.3">
      <c r="A33" t="s">
        <v>21</v>
      </c>
      <c r="B33" t="str">
        <f t="shared" si="0"/>
        <v>07/11 - 22h</v>
      </c>
      <c r="C33">
        <v>22</v>
      </c>
      <c r="D33">
        <v>7</v>
      </c>
      <c r="E33">
        <v>11</v>
      </c>
      <c r="F33">
        <v>12</v>
      </c>
      <c r="G33" s="2">
        <v>134.80000000000001</v>
      </c>
      <c r="H33" t="str">
        <f>INDEX(Thang_BF!$A$2:$A$223, MATCH(I33, Thang_BF!$B$2:$B$223, 0))</f>
        <v>STS</v>
      </c>
      <c r="I33">
        <f>INDEX(Thang_BF!$B$2:$B$223, MATCH(J33, Thang_BF!$C$2:$C$223, 0))</f>
        <v>11</v>
      </c>
      <c r="J33">
        <v>111</v>
      </c>
      <c r="K33" s="1">
        <f t="shared" si="3"/>
        <v>22.200000000000841</v>
      </c>
      <c r="L33" t="s">
        <v>20</v>
      </c>
      <c r="M33">
        <v>975</v>
      </c>
    </row>
    <row r="34" spans="1:13" x14ac:dyDescent="0.3">
      <c r="A34" t="s">
        <v>21</v>
      </c>
      <c r="B34" t="str">
        <f t="shared" si="0"/>
        <v>08/11 - 01h</v>
      </c>
      <c r="C34" s="3" t="s">
        <v>28</v>
      </c>
      <c r="D34">
        <v>8</v>
      </c>
      <c r="E34">
        <v>11</v>
      </c>
      <c r="F34">
        <v>12.2</v>
      </c>
      <c r="G34" s="2">
        <v>134.19999999999999</v>
      </c>
      <c r="H34" t="str">
        <f>INDEX(Thang_BF!$A$2:$A$223, MATCH(I34, Thang_BF!$B$2:$B$223, 0))</f>
        <v>TY</v>
      </c>
      <c r="I34">
        <f>INDEX(Thang_BF!$B$2:$B$223, MATCH(J34, Thang_BF!$C$2:$C$223, 0))</f>
        <v>12</v>
      </c>
      <c r="J34" s="1">
        <v>120</v>
      </c>
      <c r="K34" s="1">
        <f t="shared" si="3"/>
        <v>29.599999999999369</v>
      </c>
      <c r="L34" t="s">
        <v>20</v>
      </c>
      <c r="M34">
        <v>970</v>
      </c>
    </row>
    <row r="35" spans="1:13" x14ac:dyDescent="0.3">
      <c r="A35" t="s">
        <v>21</v>
      </c>
      <c r="B35" t="str">
        <f t="shared" si="0"/>
        <v>08/11 - 04h</v>
      </c>
      <c r="C35" s="3" t="s">
        <v>29</v>
      </c>
      <c r="D35">
        <v>8</v>
      </c>
      <c r="E35">
        <v>11</v>
      </c>
      <c r="F35">
        <v>12.4</v>
      </c>
      <c r="G35" s="2">
        <v>133.4</v>
      </c>
      <c r="H35" t="str">
        <f>INDEX(Thang_BF!$A$2:$A$223, MATCH(I35, Thang_BF!$B$2:$B$223, 0))</f>
        <v>TY</v>
      </c>
      <c r="I35">
        <f>INDEX(Thang_BF!$B$2:$B$223, MATCH(J35, Thang_BF!$C$2:$C$223, 0))</f>
        <v>12</v>
      </c>
      <c r="J35" s="1">
        <v>130</v>
      </c>
      <c r="K35" s="1">
        <f t="shared" si="3"/>
        <v>40.69999999999979</v>
      </c>
      <c r="L35" t="s">
        <v>20</v>
      </c>
      <c r="M35">
        <v>965</v>
      </c>
    </row>
    <row r="36" spans="1:13" x14ac:dyDescent="0.3">
      <c r="A36" t="s">
        <v>21</v>
      </c>
      <c r="B36" t="str">
        <f t="shared" si="0"/>
        <v>08/11 - 07h</v>
      </c>
      <c r="C36" s="3" t="s">
        <v>30</v>
      </c>
      <c r="D36">
        <v>8</v>
      </c>
      <c r="E36">
        <v>11</v>
      </c>
      <c r="F36">
        <v>12.8</v>
      </c>
      <c r="G36" s="2">
        <v>132.30000000000001</v>
      </c>
      <c r="H36" t="str">
        <f>INDEX(Thang_BF!$A$2:$A$223, MATCH(I36, Thang_BF!$B$2:$B$223, 0))</f>
        <v>TY</v>
      </c>
      <c r="I36">
        <f>INDEX(Thang_BF!$B$2:$B$223, MATCH(J36, Thang_BF!$C$2:$C$223, 0))</f>
        <v>13</v>
      </c>
      <c r="J36" s="1">
        <f>40*3.6</f>
        <v>144</v>
      </c>
      <c r="K36" s="1">
        <f t="shared" si="3"/>
        <v>37</v>
      </c>
      <c r="L36" t="s">
        <v>20</v>
      </c>
      <c r="M36">
        <v>960</v>
      </c>
    </row>
    <row r="37" spans="1:13" x14ac:dyDescent="0.3">
      <c r="A37" t="s">
        <v>21</v>
      </c>
      <c r="B37" t="str">
        <f t="shared" ref="B37:B56" si="4">TEXT(D37,"00")&amp;"/"&amp;TEXT(E37,"00")&amp;" - "&amp;C37&amp;"h"</f>
        <v>08/11 - 10h</v>
      </c>
      <c r="C37">
        <v>10</v>
      </c>
      <c r="D37">
        <v>8</v>
      </c>
      <c r="E37">
        <v>11</v>
      </c>
      <c r="F37">
        <v>12.7</v>
      </c>
      <c r="G37" s="2">
        <v>131.30000000000001</v>
      </c>
      <c r="H37" t="str">
        <f>INDEX(Thang_BF!$A$2:$A$223, MATCH(I37, Thang_BF!$B$2:$B$223, 0))</f>
        <v>TY</v>
      </c>
      <c r="I37">
        <f>INDEX(Thang_BF!$B$2:$B$223, MATCH(J37, Thang_BF!$C$2:$C$223, 0))</f>
        <v>14</v>
      </c>
      <c r="J37" s="1">
        <v>151</v>
      </c>
      <c r="K37" s="1">
        <f t="shared" si="3"/>
        <v>22.200000000000841</v>
      </c>
      <c r="L37" t="s">
        <v>20</v>
      </c>
      <c r="M37">
        <v>955</v>
      </c>
    </row>
    <row r="38" spans="1:13" x14ac:dyDescent="0.3">
      <c r="A38" t="s">
        <v>21</v>
      </c>
      <c r="B38" t="str">
        <f t="shared" si="4"/>
        <v>08/11 - 13h</v>
      </c>
      <c r="C38">
        <v>13</v>
      </c>
      <c r="D38">
        <v>8</v>
      </c>
      <c r="E38">
        <v>11</v>
      </c>
      <c r="F38">
        <v>13</v>
      </c>
      <c r="G38" s="2">
        <v>130.69999999999999</v>
      </c>
      <c r="H38" t="str">
        <f>INDEX(Thang_BF!$A$2:$A$223, MATCH(I38, Thang_BF!$B$2:$B$223, 0))</f>
        <v>TY</v>
      </c>
      <c r="I38">
        <f>INDEX(Thang_BF!$B$2:$B$223, MATCH(J38, Thang_BF!$C$2:$C$223, 0))</f>
        <v>14</v>
      </c>
      <c r="J38" s="1">
        <v>151</v>
      </c>
      <c r="K38" s="1">
        <f t="shared" si="3"/>
        <v>40.69999999999979</v>
      </c>
      <c r="L38" t="s">
        <v>20</v>
      </c>
      <c r="M38">
        <v>955</v>
      </c>
    </row>
    <row r="39" spans="1:13" x14ac:dyDescent="0.3">
      <c r="A39" t="s">
        <v>21</v>
      </c>
      <c r="B39" t="str">
        <f t="shared" si="4"/>
        <v>08/11 - 16h</v>
      </c>
      <c r="C39">
        <v>16</v>
      </c>
      <c r="D39">
        <v>8</v>
      </c>
      <c r="E39">
        <v>11</v>
      </c>
      <c r="F39">
        <v>13.1</v>
      </c>
      <c r="G39" s="2">
        <v>129.6</v>
      </c>
      <c r="H39" t="str">
        <f>INDEX(Thang_BF!$A$2:$A$223, MATCH(I39, Thang_BF!$B$2:$B$223, 0))</f>
        <v>TY</v>
      </c>
      <c r="I39">
        <f>INDEX(Thang_BF!$B$2:$B$223, MATCH(J39, Thang_BF!$C$2:$C$223, 0))</f>
        <v>14</v>
      </c>
      <c r="J39" s="1">
        <v>151</v>
      </c>
      <c r="K39" s="1">
        <f t="shared" si="3"/>
        <v>44.399999999999579</v>
      </c>
      <c r="L39" t="s">
        <v>20</v>
      </c>
      <c r="M39">
        <v>955</v>
      </c>
    </row>
    <row r="40" spans="1:13" x14ac:dyDescent="0.3">
      <c r="A40" t="s">
        <v>21</v>
      </c>
      <c r="B40" t="str">
        <f t="shared" si="4"/>
        <v>08/11 - 19h</v>
      </c>
      <c r="C40">
        <v>19</v>
      </c>
      <c r="D40">
        <v>8</v>
      </c>
      <c r="E40">
        <v>11</v>
      </c>
      <c r="F40">
        <v>13.2</v>
      </c>
      <c r="G40" s="2">
        <v>128.4</v>
      </c>
      <c r="H40" t="str">
        <f>INDEX(Thang_BF!$A$2:$A$223, MATCH(I40, Thang_BF!$B$2:$B$223, 0))</f>
        <v>TY</v>
      </c>
      <c r="I40">
        <f>INDEX(Thang_BF!$B$2:$B$223, MATCH(J40, Thang_BF!$C$2:$C$223, 0))</f>
        <v>14</v>
      </c>
      <c r="J40" s="1">
        <v>151</v>
      </c>
      <c r="K40" s="1">
        <f t="shared" si="3"/>
        <v>33.30000000000021</v>
      </c>
      <c r="L40" t="s">
        <v>20</v>
      </c>
      <c r="M40">
        <v>955</v>
      </c>
    </row>
    <row r="41" spans="1:13" x14ac:dyDescent="0.3">
      <c r="A41" t="s">
        <v>21</v>
      </c>
      <c r="B41" t="str">
        <f t="shared" si="4"/>
        <v>08/11 - 22h</v>
      </c>
      <c r="C41">
        <v>22</v>
      </c>
      <c r="D41">
        <v>8</v>
      </c>
      <c r="E41">
        <v>11</v>
      </c>
      <c r="F41">
        <v>13.5</v>
      </c>
      <c r="G41" s="2">
        <v>127.5</v>
      </c>
      <c r="H41" t="str">
        <f>INDEX(Thang_BF!$A$2:$A$223, MATCH(I41, Thang_BF!$B$2:$B$223, 0))</f>
        <v>TY</v>
      </c>
      <c r="I41">
        <f>INDEX(Thang_BF!$B$2:$B$223, MATCH(J41, Thang_BF!$C$2:$C$223, 0))</f>
        <v>14</v>
      </c>
      <c r="J41">
        <v>151</v>
      </c>
      <c r="K41" s="1">
        <f t="shared" si="3"/>
        <v>33.30000000000021</v>
      </c>
      <c r="L41" t="s">
        <v>20</v>
      </c>
      <c r="M41">
        <v>955</v>
      </c>
    </row>
    <row r="42" spans="1:13" x14ac:dyDescent="0.3">
      <c r="A42" t="s">
        <v>21</v>
      </c>
      <c r="B42" t="str">
        <f t="shared" si="4"/>
        <v>09/11 - 01h</v>
      </c>
      <c r="C42" s="3" t="s">
        <v>28</v>
      </c>
      <c r="D42">
        <v>9</v>
      </c>
      <c r="E42">
        <v>11</v>
      </c>
      <c r="F42">
        <v>13.8</v>
      </c>
      <c r="G42" s="2">
        <v>126.6</v>
      </c>
      <c r="H42" t="str">
        <f>INDEX(Thang_BF!$A$2:$A$223, MATCH(I42, Thang_BF!$B$2:$B$223, 0))</f>
        <v>STY</v>
      </c>
      <c r="I42">
        <f>INDEX(Thang_BF!$B$2:$B$223, MATCH(J42, Thang_BF!$C$2:$C$223, 0))</f>
        <v>16</v>
      </c>
      <c r="J42">
        <v>187</v>
      </c>
      <c r="K42" s="1">
        <f t="shared" si="3"/>
        <v>29.599999999999895</v>
      </c>
      <c r="L42" t="s">
        <v>20</v>
      </c>
      <c r="M42">
        <v>935</v>
      </c>
    </row>
    <row r="43" spans="1:13" x14ac:dyDescent="0.3">
      <c r="A43" t="s">
        <v>21</v>
      </c>
      <c r="B43" t="str">
        <f t="shared" si="4"/>
        <v>09/11 - 04h</v>
      </c>
      <c r="C43" s="3" t="s">
        <v>29</v>
      </c>
      <c r="D43">
        <v>9</v>
      </c>
      <c r="E43">
        <v>11</v>
      </c>
      <c r="F43">
        <v>13.9</v>
      </c>
      <c r="G43" s="2">
        <v>125.8</v>
      </c>
      <c r="H43" t="str">
        <f>INDEX(Thang_BF!$A$2:$A$223, MATCH(I43, Thang_BF!$B$2:$B$223, 0))</f>
        <v>STY</v>
      </c>
      <c r="I43" s="4">
        <f>INDEX(Thang_BF!$B$2:$B$223, MATCH(J43, Thang_BF!$C$2:$C$223, 0))</f>
        <v>16</v>
      </c>
      <c r="J43">
        <v>187</v>
      </c>
      <c r="K43" s="1">
        <f t="shared" si="3"/>
        <v>29.599999999999895</v>
      </c>
      <c r="L43" t="s">
        <v>20</v>
      </c>
      <c r="M43">
        <v>935</v>
      </c>
    </row>
    <row r="44" spans="1:13" x14ac:dyDescent="0.3">
      <c r="A44" t="s">
        <v>21</v>
      </c>
      <c r="B44" t="str">
        <f t="shared" si="4"/>
        <v>09/11 - 07h</v>
      </c>
      <c r="C44" s="3" t="s">
        <v>30</v>
      </c>
      <c r="D44">
        <v>9</v>
      </c>
      <c r="E44">
        <v>11</v>
      </c>
      <c r="F44">
        <v>14.3</v>
      </c>
      <c r="G44" s="2">
        <v>125</v>
      </c>
      <c r="H44" t="str">
        <f>INDEX(Thang_BF!$A$2:$A$223, MATCH(I44, Thang_BF!$B$2:$B$223, 0))</f>
        <v>STY</v>
      </c>
      <c r="I44" s="4">
        <f>INDEX(Thang_BF!$B$2:$B$223, MATCH(J44, Thang_BF!$C$2:$C$223, 0))</f>
        <v>16</v>
      </c>
      <c r="J44">
        <v>187</v>
      </c>
      <c r="K44" s="1">
        <f t="shared" si="3"/>
        <v>33.30000000000021</v>
      </c>
      <c r="L44" t="s">
        <v>20</v>
      </c>
      <c r="M44">
        <v>935</v>
      </c>
    </row>
    <row r="45" spans="1:13" x14ac:dyDescent="0.3">
      <c r="A45" t="s">
        <v>21</v>
      </c>
      <c r="B45" t="str">
        <f t="shared" si="4"/>
        <v>09/11 - 10h</v>
      </c>
      <c r="C45">
        <v>10</v>
      </c>
      <c r="D45">
        <v>9</v>
      </c>
      <c r="E45">
        <v>11</v>
      </c>
      <c r="F45">
        <v>14.5</v>
      </c>
      <c r="G45" s="2">
        <v>124.1</v>
      </c>
      <c r="H45" t="str">
        <f>INDEX(Thang_BF!$A$2:$A$223, MATCH(I45, Thang_BF!$B$2:$B$223, 0))</f>
        <v>STY</v>
      </c>
      <c r="I45" s="4">
        <f>INDEX(Thang_BF!$B$2:$B$223, MATCH(J45, Thang_BF!$C$2:$C$223, 0))</f>
        <v>16</v>
      </c>
      <c r="J45">
        <v>187</v>
      </c>
      <c r="K45" s="1">
        <f t="shared" si="3"/>
        <v>22.19999999999979</v>
      </c>
      <c r="L45" t="s">
        <v>20</v>
      </c>
      <c r="M45">
        <v>935</v>
      </c>
    </row>
    <row r="46" spans="1:13" x14ac:dyDescent="0.3">
      <c r="A46" t="s">
        <v>21</v>
      </c>
      <c r="B46" t="str">
        <f t="shared" si="4"/>
        <v>09/11 - 13h</v>
      </c>
      <c r="C46">
        <v>13</v>
      </c>
      <c r="D46">
        <v>9</v>
      </c>
      <c r="E46">
        <v>11</v>
      </c>
      <c r="F46">
        <v>14.9</v>
      </c>
      <c r="G46" s="2">
        <v>123.5</v>
      </c>
      <c r="H46" t="str">
        <f>INDEX(Thang_BF!$A$2:$A$223, MATCH(I46, Thang_BF!$B$2:$B$223, 0))</f>
        <v>STY</v>
      </c>
      <c r="I46" s="4">
        <f>INDEX(Thang_BF!$B$2:$B$223, MATCH(J46, Thang_BF!$C$2:$C$223, 0))</f>
        <v>16</v>
      </c>
      <c r="J46">
        <v>187</v>
      </c>
      <c r="K46" s="1">
        <f t="shared" si="3"/>
        <v>22.19999999999979</v>
      </c>
      <c r="L46" t="s">
        <v>20</v>
      </c>
      <c r="M46">
        <v>935</v>
      </c>
    </row>
    <row r="47" spans="1:13" x14ac:dyDescent="0.3">
      <c r="A47" t="s">
        <v>21</v>
      </c>
      <c r="B47" t="str">
        <f t="shared" si="4"/>
        <v>09/11 - 16h</v>
      </c>
      <c r="C47">
        <v>16</v>
      </c>
      <c r="D47">
        <v>9</v>
      </c>
      <c r="E47">
        <v>11</v>
      </c>
      <c r="F47">
        <v>15.2</v>
      </c>
      <c r="G47" s="2">
        <v>122.9</v>
      </c>
      <c r="H47" t="str">
        <f>INDEX(Thang_BF!$A$2:$A$223, MATCH(I47, Thang_BF!$B$2:$B$223, 0))</f>
        <v>STY</v>
      </c>
      <c r="I47" s="4">
        <f>INDEX(Thang_BF!$B$2:$B$223, MATCH(J47, Thang_BF!$C$2:$C$223, 0))</f>
        <v>16</v>
      </c>
      <c r="J47">
        <v>187</v>
      </c>
      <c r="K47" s="1">
        <f t="shared" si="3"/>
        <v>29.600000000000421</v>
      </c>
      <c r="L47" t="s">
        <v>20</v>
      </c>
      <c r="M47">
        <v>935</v>
      </c>
    </row>
    <row r="48" spans="1:13" x14ac:dyDescent="0.3">
      <c r="A48" t="s">
        <v>21</v>
      </c>
      <c r="B48" t="str">
        <f t="shared" si="4"/>
        <v>09/11 - 19h</v>
      </c>
      <c r="C48">
        <v>19</v>
      </c>
      <c r="D48">
        <v>9</v>
      </c>
      <c r="E48">
        <v>11</v>
      </c>
      <c r="F48">
        <v>15.7</v>
      </c>
      <c r="G48" s="2">
        <v>122.1</v>
      </c>
      <c r="H48" t="str">
        <f>INDEX(Thang_BF!$A$2:$A$223, MATCH(I48, Thang_BF!$B$2:$B$223, 0))</f>
        <v>TY</v>
      </c>
      <c r="I48" s="4">
        <f>INDEX(Thang_BF!$B$2:$B$223, MATCH(J48, Thang_BF!$C$2:$C$223, 0))</f>
        <v>15</v>
      </c>
      <c r="J48">
        <f>50*3.6</f>
        <v>180</v>
      </c>
      <c r="K48" s="1">
        <f t="shared" si="3"/>
        <v>29.599999999999895</v>
      </c>
      <c r="L48" t="s">
        <v>20</v>
      </c>
      <c r="M48">
        <v>940</v>
      </c>
    </row>
    <row r="49" spans="1:16" x14ac:dyDescent="0.3">
      <c r="A49" t="s">
        <v>21</v>
      </c>
      <c r="B49" t="str">
        <f t="shared" si="4"/>
        <v>09/11 - 22h</v>
      </c>
      <c r="C49" s="3">
        <v>22</v>
      </c>
      <c r="D49">
        <v>9</v>
      </c>
      <c r="E49">
        <v>11</v>
      </c>
      <c r="F49">
        <v>16.100000000000001</v>
      </c>
      <c r="G49" s="2">
        <v>121.3</v>
      </c>
      <c r="H49" t="str">
        <f>INDEX(Thang_BF!$A$2:$A$223, MATCH(I49, Thang_BF!$B$2:$B$223, 0))</f>
        <v>TY</v>
      </c>
      <c r="I49" s="4">
        <f>INDEX(Thang_BF!$B$2:$B$223, MATCH(J49, Thang_BF!$C$2:$C$223, 0))</f>
        <v>14</v>
      </c>
      <c r="J49">
        <f>45*3.6</f>
        <v>162</v>
      </c>
      <c r="K49" s="1">
        <f t="shared" si="3"/>
        <v>48.099999999999888</v>
      </c>
      <c r="L49" t="s">
        <v>20</v>
      </c>
      <c r="M49">
        <v>960</v>
      </c>
    </row>
    <row r="50" spans="1:16" x14ac:dyDescent="0.3">
      <c r="A50" t="s">
        <v>21</v>
      </c>
      <c r="B50" t="str">
        <f t="shared" si="4"/>
        <v>10/11 - 01h</v>
      </c>
      <c r="C50" s="3" t="s">
        <v>28</v>
      </c>
      <c r="D50">
        <v>10</v>
      </c>
      <c r="E50">
        <v>11</v>
      </c>
      <c r="F50">
        <v>16.600000000000001</v>
      </c>
      <c r="G50" s="2">
        <v>120</v>
      </c>
      <c r="H50" t="str">
        <f>INDEX(Thang_BF!$A$2:$A$223, MATCH(I50, Thang_BF!$B$2:$B$223, 0))</f>
        <v>TY</v>
      </c>
      <c r="I50" s="4">
        <f>INDEX(Thang_BF!$B$2:$B$223, MATCH(J50, Thang_BF!$C$2:$C$223, 0))</f>
        <v>14</v>
      </c>
      <c r="J50">
        <v>151</v>
      </c>
      <c r="K50" s="1">
        <f t="shared" si="3"/>
        <v>18.5</v>
      </c>
      <c r="L50" t="s">
        <v>20</v>
      </c>
      <c r="M50">
        <v>950</v>
      </c>
    </row>
    <row r="51" spans="1:16" x14ac:dyDescent="0.3">
      <c r="A51" t="s">
        <v>21</v>
      </c>
      <c r="B51" t="str">
        <f t="shared" si="4"/>
        <v>10/11 - 04h</v>
      </c>
      <c r="C51" s="3" t="s">
        <v>29</v>
      </c>
      <c r="D51">
        <v>10</v>
      </c>
      <c r="E51">
        <v>11</v>
      </c>
      <c r="F51">
        <v>16.600000000000001</v>
      </c>
      <c r="G51" s="2">
        <v>119.5</v>
      </c>
      <c r="H51" t="str">
        <f>INDEX(Thang_BF!$A$2:$A$223, MATCH(I51, Thang_BF!$B$2:$B$223, 0))</f>
        <v>TY</v>
      </c>
      <c r="I51" s="4">
        <f>INDEX(Thang_BF!$B$2:$B$223, MATCH(J51, Thang_BF!$C$2:$C$223, 0))</f>
        <v>13</v>
      </c>
      <c r="J51">
        <v>137</v>
      </c>
      <c r="K51" s="1">
        <f t="shared" si="3"/>
        <v>11.099999999999895</v>
      </c>
      <c r="L51" t="s">
        <v>20</v>
      </c>
      <c r="M51">
        <v>965</v>
      </c>
    </row>
    <row r="52" spans="1:16" x14ac:dyDescent="0.3">
      <c r="A52" t="s">
        <v>21</v>
      </c>
      <c r="B52" t="str">
        <f t="shared" si="4"/>
        <v>10/11 - 07h</v>
      </c>
      <c r="C52" s="3" t="s">
        <v>30</v>
      </c>
      <c r="D52">
        <v>10</v>
      </c>
      <c r="E52">
        <v>11</v>
      </c>
      <c r="F52">
        <v>16.8</v>
      </c>
      <c r="G52" s="2">
        <v>119.2</v>
      </c>
      <c r="H52" t="str">
        <f>INDEX(Thang_BF!$A$2:$A$223, MATCH(I52, Thang_BF!$B$2:$B$223, 0))</f>
        <v>TY</v>
      </c>
      <c r="I52" s="4">
        <f>INDEX(Thang_BF!$B$2:$B$223, MATCH(J52, Thang_BF!$C$2:$C$223, 0))</f>
        <v>13</v>
      </c>
      <c r="J52">
        <f>138</f>
        <v>138</v>
      </c>
      <c r="K52" s="1">
        <f t="shared" si="3"/>
        <v>3.7000000000003155</v>
      </c>
      <c r="L52" t="s">
        <v>20</v>
      </c>
      <c r="M52">
        <v>965</v>
      </c>
    </row>
    <row r="53" spans="1:16" x14ac:dyDescent="0.3">
      <c r="A53" t="s">
        <v>22</v>
      </c>
      <c r="B53" t="str">
        <f t="shared" si="4"/>
        <v>10/11 - 10h</v>
      </c>
      <c r="C53">
        <v>10</v>
      </c>
      <c r="D53">
        <v>10</v>
      </c>
      <c r="E53">
        <v>11</v>
      </c>
      <c r="F53">
        <v>17</v>
      </c>
      <c r="G53" s="2">
        <v>119.1</v>
      </c>
      <c r="H53" t="str">
        <f>INDEX(Thang_BF!$A$2:$A$223, MATCH(I53, Thang_BF!$B$2:$B$223, 0))</f>
        <v>TY</v>
      </c>
      <c r="I53" s="4">
        <f>INDEX(Thang_BF!$B$2:$B$223, MATCH(J53, Thang_BF!$C$2:$C$223, 0))</f>
        <v>13</v>
      </c>
      <c r="J53">
        <v>138</v>
      </c>
      <c r="K53" s="1">
        <f t="shared" si="3"/>
        <v>40.69999999999979</v>
      </c>
      <c r="M53">
        <v>965</v>
      </c>
      <c r="N53">
        <v>100</v>
      </c>
      <c r="O53">
        <f>((N53-P53)/2)+P53</f>
        <v>65</v>
      </c>
      <c r="P53">
        <v>30</v>
      </c>
    </row>
    <row r="54" spans="1:16" x14ac:dyDescent="0.3">
      <c r="A54" t="s">
        <v>19</v>
      </c>
      <c r="B54" t="str">
        <f t="shared" si="4"/>
        <v>11/11 - 10h</v>
      </c>
      <c r="C54">
        <v>10</v>
      </c>
      <c r="D54">
        <v>11</v>
      </c>
      <c r="E54">
        <v>11</v>
      </c>
      <c r="F54">
        <v>19.5</v>
      </c>
      <c r="G54" s="2">
        <v>118</v>
      </c>
      <c r="H54" t="str">
        <f>INDEX(Thang_BF!$A$2:$A$223, MATCH(I54, Thang_BF!$B$2:$B$223, 0))</f>
        <v>TY</v>
      </c>
      <c r="I54" s="4">
        <f>INDEX(Thang_BF!$B$2:$B$223, MATCH(J54, Thang_BF!$C$2:$C$223, 0))</f>
        <v>14</v>
      </c>
      <c r="J54">
        <v>151</v>
      </c>
      <c r="K54" s="1">
        <f t="shared" si="3"/>
        <v>-44.400000000000112</v>
      </c>
      <c r="M54">
        <v>955</v>
      </c>
      <c r="N54">
        <v>180</v>
      </c>
      <c r="O54">
        <f>((N54-P54)/2)+P54</f>
        <v>130</v>
      </c>
      <c r="P54">
        <v>80</v>
      </c>
    </row>
    <row r="55" spans="1:16" x14ac:dyDescent="0.3">
      <c r="A55" t="s">
        <v>19</v>
      </c>
      <c r="B55" t="str">
        <f t="shared" si="4"/>
        <v>12/11 - 10h</v>
      </c>
      <c r="C55">
        <v>10</v>
      </c>
      <c r="D55">
        <v>12</v>
      </c>
      <c r="E55">
        <v>11</v>
      </c>
      <c r="F55">
        <v>22.4</v>
      </c>
      <c r="G55" s="2">
        <v>119.2</v>
      </c>
      <c r="H55" t="str">
        <f>INDEX(Thang_BF!$A$2:$A$223, MATCH(I55, Thang_BF!$B$2:$B$223, 0))</f>
        <v>TY</v>
      </c>
      <c r="I55" s="4">
        <f>INDEX(Thang_BF!$B$2:$B$223, MATCH(J55, Thang_BF!$C$2:$C$223, 0))</f>
        <v>13</v>
      </c>
      <c r="J55">
        <v>138</v>
      </c>
      <c r="K55" s="1">
        <f t="shared" si="3"/>
        <v>-159.09999999999988</v>
      </c>
      <c r="M55">
        <v>965</v>
      </c>
      <c r="N55">
        <v>260</v>
      </c>
      <c r="O55">
        <f>((N55-P55)/2)+P55</f>
        <v>195</v>
      </c>
      <c r="P55">
        <v>130</v>
      </c>
    </row>
    <row r="56" spans="1:16" x14ac:dyDescent="0.3">
      <c r="A56" t="s">
        <v>19</v>
      </c>
      <c r="B56" t="str">
        <f t="shared" si="4"/>
        <v>13/11 - 10h</v>
      </c>
      <c r="C56">
        <v>10</v>
      </c>
      <c r="D56">
        <v>13</v>
      </c>
      <c r="E56">
        <v>11</v>
      </c>
      <c r="F56">
        <v>25.2</v>
      </c>
      <c r="G56" s="2">
        <v>123.5</v>
      </c>
      <c r="H56" t="str">
        <f>INDEX(Thang_BF!$A$2:$A$223, MATCH(I56, Thang_BF!$B$2:$B$223, 0))</f>
        <v>vungthap</v>
      </c>
      <c r="I56" s="4" t="str">
        <f>INDEX(Thang_BF!$B$2:$B$223, MATCH(J56, Thang_BF!$C$2:$C$223, 0))</f>
        <v>04</v>
      </c>
      <c r="J56">
        <v>25</v>
      </c>
      <c r="K56" s="1" t="e">
        <f>(G56-#REF!)*111/3</f>
        <v>#REF!</v>
      </c>
      <c r="M56">
        <v>1004</v>
      </c>
      <c r="N56">
        <v>180</v>
      </c>
      <c r="O56">
        <v>180</v>
      </c>
      <c r="P56">
        <v>180</v>
      </c>
    </row>
    <row r="57" spans="1:16" x14ac:dyDescent="0.3">
      <c r="K5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1D56-70C8-45FC-B763-166FB1D5B7AF}">
  <dimension ref="A1:C223"/>
  <sheetViews>
    <sheetView topLeftCell="A204" workbookViewId="0">
      <selection activeCell="A186" sqref="A186:A223"/>
    </sheetView>
  </sheetViews>
  <sheetFormatPr defaultRowHeight="14.4" x14ac:dyDescent="0.3"/>
  <sheetData>
    <row r="1" spans="1:3" x14ac:dyDescent="0.3">
      <c r="A1" t="s">
        <v>38</v>
      </c>
      <c r="B1" t="s">
        <v>26</v>
      </c>
      <c r="C1" t="s">
        <v>27</v>
      </c>
    </row>
    <row r="2" spans="1:3" x14ac:dyDescent="0.3">
      <c r="B2" s="3" t="s">
        <v>31</v>
      </c>
      <c r="C2">
        <v>0</v>
      </c>
    </row>
    <row r="3" spans="1:3" x14ac:dyDescent="0.3">
      <c r="B3" s="3" t="s">
        <v>28</v>
      </c>
      <c r="C3">
        <v>1</v>
      </c>
    </row>
    <row r="4" spans="1:3" x14ac:dyDescent="0.3">
      <c r="B4" s="3" t="s">
        <v>28</v>
      </c>
      <c r="C4">
        <v>2</v>
      </c>
    </row>
    <row r="5" spans="1:3" x14ac:dyDescent="0.3">
      <c r="B5" s="3" t="s">
        <v>28</v>
      </c>
      <c r="C5">
        <v>3</v>
      </c>
    </row>
    <row r="6" spans="1:3" x14ac:dyDescent="0.3">
      <c r="B6" s="3" t="s">
        <v>28</v>
      </c>
      <c r="C6">
        <v>4</v>
      </c>
    </row>
    <row r="7" spans="1:3" x14ac:dyDescent="0.3">
      <c r="B7" s="3" t="s">
        <v>28</v>
      </c>
      <c r="C7">
        <v>5</v>
      </c>
    </row>
    <row r="8" spans="1:3" x14ac:dyDescent="0.3">
      <c r="B8" s="3" t="s">
        <v>32</v>
      </c>
      <c r="C8">
        <v>6</v>
      </c>
    </row>
    <row r="9" spans="1:3" x14ac:dyDescent="0.3">
      <c r="B9" s="3" t="s">
        <v>32</v>
      </c>
      <c r="C9">
        <v>7</v>
      </c>
    </row>
    <row r="10" spans="1:3" x14ac:dyDescent="0.3">
      <c r="B10" s="3" t="s">
        <v>32</v>
      </c>
      <c r="C10">
        <v>8</v>
      </c>
    </row>
    <row r="11" spans="1:3" x14ac:dyDescent="0.3">
      <c r="B11" s="3" t="s">
        <v>32</v>
      </c>
      <c r="C11">
        <v>9</v>
      </c>
    </row>
    <row r="12" spans="1:3" x14ac:dyDescent="0.3">
      <c r="B12" s="3" t="s">
        <v>32</v>
      </c>
      <c r="C12">
        <v>10</v>
      </c>
    </row>
    <row r="13" spans="1:3" x14ac:dyDescent="0.3">
      <c r="B13" s="3" t="s">
        <v>32</v>
      </c>
      <c r="C13">
        <v>11</v>
      </c>
    </row>
    <row r="14" spans="1:3" x14ac:dyDescent="0.3">
      <c r="B14" s="3" t="s">
        <v>33</v>
      </c>
      <c r="C14">
        <v>12</v>
      </c>
    </row>
    <row r="15" spans="1:3" x14ac:dyDescent="0.3">
      <c r="B15" s="3" t="s">
        <v>33</v>
      </c>
      <c r="C15">
        <v>13</v>
      </c>
    </row>
    <row r="16" spans="1:3" x14ac:dyDescent="0.3">
      <c r="B16" s="3" t="s">
        <v>33</v>
      </c>
      <c r="C16">
        <v>14</v>
      </c>
    </row>
    <row r="17" spans="1:3" x14ac:dyDescent="0.3">
      <c r="B17" s="3" t="s">
        <v>33</v>
      </c>
      <c r="C17">
        <v>15</v>
      </c>
    </row>
    <row r="18" spans="1:3" x14ac:dyDescent="0.3">
      <c r="B18" s="3" t="s">
        <v>33</v>
      </c>
      <c r="C18">
        <v>16</v>
      </c>
    </row>
    <row r="19" spans="1:3" x14ac:dyDescent="0.3">
      <c r="B19" s="3" t="s">
        <v>33</v>
      </c>
      <c r="C19">
        <v>17</v>
      </c>
    </row>
    <row r="20" spans="1:3" x14ac:dyDescent="0.3">
      <c r="B20" s="3" t="s">
        <v>33</v>
      </c>
      <c r="C20">
        <v>18</v>
      </c>
    </row>
    <row r="21" spans="1:3" x14ac:dyDescent="0.3">
      <c r="B21" s="3" t="s">
        <v>33</v>
      </c>
      <c r="C21">
        <v>19</v>
      </c>
    </row>
    <row r="22" spans="1:3" x14ac:dyDescent="0.3">
      <c r="A22" t="s">
        <v>24</v>
      </c>
      <c r="B22" s="3" t="s">
        <v>29</v>
      </c>
      <c r="C22">
        <v>20</v>
      </c>
    </row>
    <row r="23" spans="1:3" x14ac:dyDescent="0.3">
      <c r="A23" t="s">
        <v>24</v>
      </c>
      <c r="B23" s="3" t="s">
        <v>29</v>
      </c>
      <c r="C23">
        <v>21</v>
      </c>
    </row>
    <row r="24" spans="1:3" x14ac:dyDescent="0.3">
      <c r="A24" t="s">
        <v>24</v>
      </c>
      <c r="B24" s="3" t="s">
        <v>29</v>
      </c>
      <c r="C24">
        <v>22</v>
      </c>
    </row>
    <row r="25" spans="1:3" x14ac:dyDescent="0.3">
      <c r="A25" t="s">
        <v>24</v>
      </c>
      <c r="B25" s="3" t="s">
        <v>29</v>
      </c>
      <c r="C25">
        <v>23</v>
      </c>
    </row>
    <row r="26" spans="1:3" x14ac:dyDescent="0.3">
      <c r="A26" t="s">
        <v>24</v>
      </c>
      <c r="B26" s="3" t="s">
        <v>29</v>
      </c>
      <c r="C26">
        <v>24</v>
      </c>
    </row>
    <row r="27" spans="1:3" x14ac:dyDescent="0.3">
      <c r="A27" t="s">
        <v>24</v>
      </c>
      <c r="B27" s="3" t="s">
        <v>29</v>
      </c>
      <c r="C27">
        <v>25</v>
      </c>
    </row>
    <row r="28" spans="1:3" x14ac:dyDescent="0.3">
      <c r="A28" t="s">
        <v>24</v>
      </c>
      <c r="B28" s="3" t="s">
        <v>29</v>
      </c>
      <c r="C28">
        <v>26</v>
      </c>
    </row>
    <row r="29" spans="1:3" x14ac:dyDescent="0.3">
      <c r="A29" t="s">
        <v>24</v>
      </c>
      <c r="B29" s="3" t="s">
        <v>29</v>
      </c>
      <c r="C29">
        <v>27</v>
      </c>
    </row>
    <row r="30" spans="1:3" x14ac:dyDescent="0.3">
      <c r="A30" t="s">
        <v>24</v>
      </c>
      <c r="B30" s="3" t="s">
        <v>29</v>
      </c>
      <c r="C30">
        <v>28</v>
      </c>
    </row>
    <row r="31" spans="1:3" x14ac:dyDescent="0.3">
      <c r="A31" t="s">
        <v>24</v>
      </c>
      <c r="B31" s="3" t="s">
        <v>34</v>
      </c>
      <c r="C31">
        <v>29</v>
      </c>
    </row>
    <row r="32" spans="1:3" x14ac:dyDescent="0.3">
      <c r="A32" t="s">
        <v>24</v>
      </c>
      <c r="B32" s="3" t="s">
        <v>34</v>
      </c>
      <c r="C32">
        <v>30</v>
      </c>
    </row>
    <row r="33" spans="1:3" x14ac:dyDescent="0.3">
      <c r="A33" t="s">
        <v>24</v>
      </c>
      <c r="B33" s="3" t="s">
        <v>34</v>
      </c>
      <c r="C33">
        <v>31</v>
      </c>
    </row>
    <row r="34" spans="1:3" x14ac:dyDescent="0.3">
      <c r="A34" t="s">
        <v>24</v>
      </c>
      <c r="B34" s="3" t="s">
        <v>34</v>
      </c>
      <c r="C34">
        <v>32</v>
      </c>
    </row>
    <row r="35" spans="1:3" x14ac:dyDescent="0.3">
      <c r="A35" t="s">
        <v>24</v>
      </c>
      <c r="B35" s="3" t="s">
        <v>34</v>
      </c>
      <c r="C35">
        <v>33</v>
      </c>
    </row>
    <row r="36" spans="1:3" x14ac:dyDescent="0.3">
      <c r="A36" t="s">
        <v>24</v>
      </c>
      <c r="B36" s="3" t="s">
        <v>34</v>
      </c>
      <c r="C36">
        <v>34</v>
      </c>
    </row>
    <row r="37" spans="1:3" x14ac:dyDescent="0.3">
      <c r="A37" t="s">
        <v>24</v>
      </c>
      <c r="B37" s="3" t="s">
        <v>34</v>
      </c>
      <c r="C37">
        <v>35</v>
      </c>
    </row>
    <row r="38" spans="1:3" x14ac:dyDescent="0.3">
      <c r="A38" t="s">
        <v>24</v>
      </c>
      <c r="B38" s="3" t="s">
        <v>34</v>
      </c>
      <c r="C38">
        <v>36</v>
      </c>
    </row>
    <row r="39" spans="1:3" x14ac:dyDescent="0.3">
      <c r="A39" t="s">
        <v>24</v>
      </c>
      <c r="B39" s="3" t="s">
        <v>34</v>
      </c>
      <c r="C39">
        <v>37</v>
      </c>
    </row>
    <row r="40" spans="1:3" x14ac:dyDescent="0.3">
      <c r="A40" t="s">
        <v>24</v>
      </c>
      <c r="B40" s="3" t="s">
        <v>34</v>
      </c>
      <c r="C40">
        <v>38</v>
      </c>
    </row>
    <row r="41" spans="1:3" x14ac:dyDescent="0.3">
      <c r="A41" t="s">
        <v>25</v>
      </c>
      <c r="B41" s="3" t="s">
        <v>35</v>
      </c>
      <c r="C41">
        <v>39</v>
      </c>
    </row>
    <row r="42" spans="1:3" x14ac:dyDescent="0.3">
      <c r="A42" t="s">
        <v>25</v>
      </c>
      <c r="B42" s="3" t="s">
        <v>35</v>
      </c>
      <c r="C42">
        <v>40</v>
      </c>
    </row>
    <row r="43" spans="1:3" x14ac:dyDescent="0.3">
      <c r="A43" t="s">
        <v>25</v>
      </c>
      <c r="B43" s="3" t="s">
        <v>35</v>
      </c>
      <c r="C43">
        <v>41</v>
      </c>
    </row>
    <row r="44" spans="1:3" x14ac:dyDescent="0.3">
      <c r="A44" t="s">
        <v>25</v>
      </c>
      <c r="B44" s="3" t="s">
        <v>35</v>
      </c>
      <c r="C44">
        <v>42</v>
      </c>
    </row>
    <row r="45" spans="1:3" x14ac:dyDescent="0.3">
      <c r="A45" t="s">
        <v>25</v>
      </c>
      <c r="B45" s="3" t="s">
        <v>35</v>
      </c>
      <c r="C45">
        <v>43</v>
      </c>
    </row>
    <row r="46" spans="1:3" x14ac:dyDescent="0.3">
      <c r="A46" t="s">
        <v>25</v>
      </c>
      <c r="B46" s="3" t="s">
        <v>35</v>
      </c>
      <c r="C46">
        <v>44</v>
      </c>
    </row>
    <row r="47" spans="1:3" x14ac:dyDescent="0.3">
      <c r="A47" t="s">
        <v>25</v>
      </c>
      <c r="B47" s="3" t="s">
        <v>35</v>
      </c>
      <c r="C47">
        <v>45</v>
      </c>
    </row>
    <row r="48" spans="1:3" x14ac:dyDescent="0.3">
      <c r="A48" t="s">
        <v>25</v>
      </c>
      <c r="B48" s="3" t="s">
        <v>35</v>
      </c>
      <c r="C48">
        <v>46</v>
      </c>
    </row>
    <row r="49" spans="1:3" x14ac:dyDescent="0.3">
      <c r="A49" t="s">
        <v>25</v>
      </c>
      <c r="B49" s="3" t="s">
        <v>35</v>
      </c>
      <c r="C49">
        <v>47</v>
      </c>
    </row>
    <row r="50" spans="1:3" x14ac:dyDescent="0.3">
      <c r="A50" t="s">
        <v>25</v>
      </c>
      <c r="B50" s="3" t="s">
        <v>35</v>
      </c>
      <c r="C50">
        <v>48</v>
      </c>
    </row>
    <row r="51" spans="1:3" x14ac:dyDescent="0.3">
      <c r="A51" t="s">
        <v>25</v>
      </c>
      <c r="B51" s="3" t="s">
        <v>35</v>
      </c>
      <c r="C51">
        <v>49</v>
      </c>
    </row>
    <row r="52" spans="1:3" x14ac:dyDescent="0.3">
      <c r="A52" t="s">
        <v>25</v>
      </c>
      <c r="B52" s="3" t="s">
        <v>30</v>
      </c>
      <c r="C52">
        <v>50</v>
      </c>
    </row>
    <row r="53" spans="1:3" x14ac:dyDescent="0.3">
      <c r="A53" t="s">
        <v>25</v>
      </c>
      <c r="B53" s="3" t="s">
        <v>30</v>
      </c>
      <c r="C53">
        <v>51</v>
      </c>
    </row>
    <row r="54" spans="1:3" x14ac:dyDescent="0.3">
      <c r="A54" t="s">
        <v>25</v>
      </c>
      <c r="B54" s="3" t="s">
        <v>30</v>
      </c>
      <c r="C54">
        <v>52</v>
      </c>
    </row>
    <row r="55" spans="1:3" x14ac:dyDescent="0.3">
      <c r="A55" t="s">
        <v>25</v>
      </c>
      <c r="B55" s="3" t="s">
        <v>30</v>
      </c>
      <c r="C55">
        <v>53</v>
      </c>
    </row>
    <row r="56" spans="1:3" x14ac:dyDescent="0.3">
      <c r="A56" t="s">
        <v>25</v>
      </c>
      <c r="B56" s="3" t="s">
        <v>30</v>
      </c>
      <c r="C56">
        <v>54</v>
      </c>
    </row>
    <row r="57" spans="1:3" x14ac:dyDescent="0.3">
      <c r="A57" t="s">
        <v>25</v>
      </c>
      <c r="B57" s="3" t="s">
        <v>30</v>
      </c>
      <c r="C57">
        <v>55</v>
      </c>
    </row>
    <row r="58" spans="1:3" x14ac:dyDescent="0.3">
      <c r="A58" t="s">
        <v>25</v>
      </c>
      <c r="B58" s="3" t="s">
        <v>30</v>
      </c>
      <c r="C58">
        <v>56</v>
      </c>
    </row>
    <row r="59" spans="1:3" x14ac:dyDescent="0.3">
      <c r="A59" t="s">
        <v>25</v>
      </c>
      <c r="B59" s="3" t="s">
        <v>30</v>
      </c>
      <c r="C59">
        <v>57</v>
      </c>
    </row>
    <row r="60" spans="1:3" x14ac:dyDescent="0.3">
      <c r="A60" t="s">
        <v>25</v>
      </c>
      <c r="B60" s="3" t="s">
        <v>30</v>
      </c>
      <c r="C60">
        <v>58</v>
      </c>
    </row>
    <row r="61" spans="1:3" x14ac:dyDescent="0.3">
      <c r="A61" t="s">
        <v>25</v>
      </c>
      <c r="B61" s="3" t="s">
        <v>30</v>
      </c>
      <c r="C61">
        <v>59</v>
      </c>
    </row>
    <row r="62" spans="1:3" x14ac:dyDescent="0.3">
      <c r="A62" t="s">
        <v>25</v>
      </c>
      <c r="B62" s="3" t="s">
        <v>30</v>
      </c>
      <c r="C62">
        <v>60</v>
      </c>
    </row>
    <row r="63" spans="1:3" x14ac:dyDescent="0.3">
      <c r="A63" t="s">
        <v>25</v>
      </c>
      <c r="B63" s="3" t="s">
        <v>30</v>
      </c>
      <c r="C63">
        <v>61</v>
      </c>
    </row>
    <row r="64" spans="1:3" x14ac:dyDescent="0.3">
      <c r="A64" t="s">
        <v>7</v>
      </c>
      <c r="B64" s="3" t="s">
        <v>36</v>
      </c>
      <c r="C64">
        <v>62</v>
      </c>
    </row>
    <row r="65" spans="1:3" x14ac:dyDescent="0.3">
      <c r="A65" t="s">
        <v>7</v>
      </c>
      <c r="B65" s="3" t="s">
        <v>36</v>
      </c>
      <c r="C65">
        <v>63</v>
      </c>
    </row>
    <row r="66" spans="1:3" x14ac:dyDescent="0.3">
      <c r="A66" t="s">
        <v>7</v>
      </c>
      <c r="B66" s="3" t="s">
        <v>36</v>
      </c>
      <c r="C66">
        <v>64</v>
      </c>
    </row>
    <row r="67" spans="1:3" x14ac:dyDescent="0.3">
      <c r="A67" t="s">
        <v>7</v>
      </c>
      <c r="B67" s="3" t="s">
        <v>36</v>
      </c>
      <c r="C67">
        <v>65</v>
      </c>
    </row>
    <row r="68" spans="1:3" x14ac:dyDescent="0.3">
      <c r="A68" t="s">
        <v>7</v>
      </c>
      <c r="B68" s="3" t="s">
        <v>36</v>
      </c>
      <c r="C68">
        <v>66</v>
      </c>
    </row>
    <row r="69" spans="1:3" x14ac:dyDescent="0.3">
      <c r="A69" t="s">
        <v>7</v>
      </c>
      <c r="B69" s="3" t="s">
        <v>36</v>
      </c>
      <c r="C69">
        <v>67</v>
      </c>
    </row>
    <row r="70" spans="1:3" x14ac:dyDescent="0.3">
      <c r="A70" t="s">
        <v>7</v>
      </c>
      <c r="B70" s="3" t="s">
        <v>36</v>
      </c>
      <c r="C70">
        <v>68</v>
      </c>
    </row>
    <row r="71" spans="1:3" x14ac:dyDescent="0.3">
      <c r="A71" t="s">
        <v>7</v>
      </c>
      <c r="B71" s="3" t="s">
        <v>36</v>
      </c>
      <c r="C71">
        <v>69</v>
      </c>
    </row>
    <row r="72" spans="1:3" x14ac:dyDescent="0.3">
      <c r="A72" t="s">
        <v>7</v>
      </c>
      <c r="B72" s="3" t="s">
        <v>36</v>
      </c>
      <c r="C72">
        <v>70</v>
      </c>
    </row>
    <row r="73" spans="1:3" x14ac:dyDescent="0.3">
      <c r="A73" t="s">
        <v>7</v>
      </c>
      <c r="B73" s="3" t="s">
        <v>36</v>
      </c>
      <c r="C73">
        <v>71</v>
      </c>
    </row>
    <row r="74" spans="1:3" x14ac:dyDescent="0.3">
      <c r="A74" t="s">
        <v>7</v>
      </c>
      <c r="B74" s="3" t="s">
        <v>36</v>
      </c>
      <c r="C74">
        <v>72</v>
      </c>
    </row>
    <row r="75" spans="1:3" x14ac:dyDescent="0.3">
      <c r="A75" t="s">
        <v>7</v>
      </c>
      <c r="B75" s="3" t="s">
        <v>36</v>
      </c>
      <c r="C75">
        <v>73</v>
      </c>
    </row>
    <row r="76" spans="1:3" x14ac:dyDescent="0.3">
      <c r="A76" t="s">
        <v>7</v>
      </c>
      <c r="B76" s="3" t="s">
        <v>36</v>
      </c>
      <c r="C76">
        <v>74</v>
      </c>
    </row>
    <row r="77" spans="1:3" x14ac:dyDescent="0.3">
      <c r="A77" t="s">
        <v>7</v>
      </c>
      <c r="B77" s="3" t="s">
        <v>37</v>
      </c>
      <c r="C77">
        <v>75</v>
      </c>
    </row>
    <row r="78" spans="1:3" x14ac:dyDescent="0.3">
      <c r="A78" t="s">
        <v>7</v>
      </c>
      <c r="B78" s="3" t="s">
        <v>37</v>
      </c>
      <c r="C78">
        <v>76</v>
      </c>
    </row>
    <row r="79" spans="1:3" x14ac:dyDescent="0.3">
      <c r="A79" t="s">
        <v>7</v>
      </c>
      <c r="B79" s="3" t="s">
        <v>37</v>
      </c>
      <c r="C79">
        <v>77</v>
      </c>
    </row>
    <row r="80" spans="1:3" x14ac:dyDescent="0.3">
      <c r="A80" t="s">
        <v>7</v>
      </c>
      <c r="B80" s="3" t="s">
        <v>37</v>
      </c>
      <c r="C80">
        <v>78</v>
      </c>
    </row>
    <row r="81" spans="1:3" x14ac:dyDescent="0.3">
      <c r="A81" t="s">
        <v>7</v>
      </c>
      <c r="B81" s="3" t="s">
        <v>37</v>
      </c>
      <c r="C81">
        <v>79</v>
      </c>
    </row>
    <row r="82" spans="1:3" x14ac:dyDescent="0.3">
      <c r="A82" t="s">
        <v>7</v>
      </c>
      <c r="B82" s="3" t="s">
        <v>37</v>
      </c>
      <c r="C82">
        <v>80</v>
      </c>
    </row>
    <row r="83" spans="1:3" x14ac:dyDescent="0.3">
      <c r="A83" t="s">
        <v>7</v>
      </c>
      <c r="B83" s="3" t="s">
        <v>37</v>
      </c>
      <c r="C83">
        <v>81</v>
      </c>
    </row>
    <row r="84" spans="1:3" x14ac:dyDescent="0.3">
      <c r="A84" t="s">
        <v>7</v>
      </c>
      <c r="B84" s="3" t="s">
        <v>37</v>
      </c>
      <c r="C84">
        <v>82</v>
      </c>
    </row>
    <row r="85" spans="1:3" x14ac:dyDescent="0.3">
      <c r="A85" t="s">
        <v>7</v>
      </c>
      <c r="B85" s="3" t="s">
        <v>37</v>
      </c>
      <c r="C85">
        <v>83</v>
      </c>
    </row>
    <row r="86" spans="1:3" x14ac:dyDescent="0.3">
      <c r="A86" t="s">
        <v>7</v>
      </c>
      <c r="B86" s="3" t="s">
        <v>37</v>
      </c>
      <c r="C86">
        <v>84</v>
      </c>
    </row>
    <row r="87" spans="1:3" x14ac:dyDescent="0.3">
      <c r="A87" t="s">
        <v>7</v>
      </c>
      <c r="B87" s="3" t="s">
        <v>37</v>
      </c>
      <c r="C87">
        <v>85</v>
      </c>
    </row>
    <row r="88" spans="1:3" x14ac:dyDescent="0.3">
      <c r="A88" t="s">
        <v>7</v>
      </c>
      <c r="B88" s="3" t="s">
        <v>37</v>
      </c>
      <c r="C88">
        <v>86</v>
      </c>
    </row>
    <row r="89" spans="1:3" x14ac:dyDescent="0.3">
      <c r="A89" t="s">
        <v>7</v>
      </c>
      <c r="B89" s="3" t="s">
        <v>37</v>
      </c>
      <c r="C89">
        <v>87</v>
      </c>
    </row>
    <row r="90" spans="1:3" x14ac:dyDescent="0.3">
      <c r="A90" t="s">
        <v>7</v>
      </c>
      <c r="B90" s="3" t="s">
        <v>37</v>
      </c>
      <c r="C90">
        <v>88</v>
      </c>
    </row>
    <row r="91" spans="1:3" x14ac:dyDescent="0.3">
      <c r="A91" t="s">
        <v>10</v>
      </c>
      <c r="B91" s="4">
        <v>10</v>
      </c>
      <c r="C91">
        <v>89</v>
      </c>
    </row>
    <row r="92" spans="1:3" x14ac:dyDescent="0.3">
      <c r="A92" t="s">
        <v>10</v>
      </c>
      <c r="B92" s="4">
        <v>10</v>
      </c>
      <c r="C92">
        <v>90</v>
      </c>
    </row>
    <row r="93" spans="1:3" x14ac:dyDescent="0.3">
      <c r="A93" t="s">
        <v>10</v>
      </c>
      <c r="B93" s="4">
        <v>10</v>
      </c>
      <c r="C93">
        <v>91</v>
      </c>
    </row>
    <row r="94" spans="1:3" x14ac:dyDescent="0.3">
      <c r="A94" t="s">
        <v>10</v>
      </c>
      <c r="B94" s="4">
        <v>10</v>
      </c>
      <c r="C94">
        <v>92</v>
      </c>
    </row>
    <row r="95" spans="1:3" x14ac:dyDescent="0.3">
      <c r="A95" t="s">
        <v>10</v>
      </c>
      <c r="B95" s="4">
        <v>10</v>
      </c>
      <c r="C95">
        <v>93</v>
      </c>
    </row>
    <row r="96" spans="1:3" x14ac:dyDescent="0.3">
      <c r="A96" t="s">
        <v>10</v>
      </c>
      <c r="B96" s="4">
        <v>10</v>
      </c>
      <c r="C96">
        <v>94</v>
      </c>
    </row>
    <row r="97" spans="1:3" x14ac:dyDescent="0.3">
      <c r="A97" t="s">
        <v>10</v>
      </c>
      <c r="B97" s="4">
        <v>10</v>
      </c>
      <c r="C97">
        <v>95</v>
      </c>
    </row>
    <row r="98" spans="1:3" x14ac:dyDescent="0.3">
      <c r="A98" t="s">
        <v>10</v>
      </c>
      <c r="B98" s="4">
        <v>10</v>
      </c>
      <c r="C98">
        <v>96</v>
      </c>
    </row>
    <row r="99" spans="1:3" x14ac:dyDescent="0.3">
      <c r="A99" t="s">
        <v>10</v>
      </c>
      <c r="B99" s="4">
        <v>10</v>
      </c>
      <c r="C99">
        <v>97</v>
      </c>
    </row>
    <row r="100" spans="1:3" x14ac:dyDescent="0.3">
      <c r="A100" t="s">
        <v>10</v>
      </c>
      <c r="B100" s="4">
        <v>10</v>
      </c>
      <c r="C100">
        <v>98</v>
      </c>
    </row>
    <row r="101" spans="1:3" x14ac:dyDescent="0.3">
      <c r="A101" t="s">
        <v>10</v>
      </c>
      <c r="B101" s="4">
        <v>10</v>
      </c>
      <c r="C101">
        <v>99</v>
      </c>
    </row>
    <row r="102" spans="1:3" x14ac:dyDescent="0.3">
      <c r="A102" t="s">
        <v>10</v>
      </c>
      <c r="B102" s="4">
        <v>10</v>
      </c>
      <c r="C102">
        <v>100</v>
      </c>
    </row>
    <row r="103" spans="1:3" x14ac:dyDescent="0.3">
      <c r="A103" t="s">
        <v>10</v>
      </c>
      <c r="B103" s="4">
        <v>10</v>
      </c>
      <c r="C103">
        <v>101</v>
      </c>
    </row>
    <row r="104" spans="1:3" x14ac:dyDescent="0.3">
      <c r="A104" t="s">
        <v>10</v>
      </c>
      <c r="B104" s="4">
        <v>10</v>
      </c>
      <c r="C104">
        <v>102</v>
      </c>
    </row>
    <row r="105" spans="1:3" x14ac:dyDescent="0.3">
      <c r="A105" t="s">
        <v>10</v>
      </c>
      <c r="B105" s="4">
        <v>11</v>
      </c>
      <c r="C105">
        <v>103</v>
      </c>
    </row>
    <row r="106" spans="1:3" x14ac:dyDescent="0.3">
      <c r="A106" t="s">
        <v>10</v>
      </c>
      <c r="B106" s="4">
        <v>11</v>
      </c>
      <c r="C106">
        <v>104</v>
      </c>
    </row>
    <row r="107" spans="1:3" x14ac:dyDescent="0.3">
      <c r="A107" t="s">
        <v>10</v>
      </c>
      <c r="B107" s="4">
        <v>11</v>
      </c>
      <c r="C107">
        <v>105</v>
      </c>
    </row>
    <row r="108" spans="1:3" x14ac:dyDescent="0.3">
      <c r="A108" t="s">
        <v>10</v>
      </c>
      <c r="B108" s="4">
        <v>11</v>
      </c>
      <c r="C108">
        <v>106</v>
      </c>
    </row>
    <row r="109" spans="1:3" x14ac:dyDescent="0.3">
      <c r="A109" t="s">
        <v>10</v>
      </c>
      <c r="B109" s="4">
        <v>11</v>
      </c>
      <c r="C109">
        <v>107</v>
      </c>
    </row>
    <row r="110" spans="1:3" x14ac:dyDescent="0.3">
      <c r="A110" t="s">
        <v>10</v>
      </c>
      <c r="B110" s="4">
        <v>11</v>
      </c>
      <c r="C110">
        <v>108</v>
      </c>
    </row>
    <row r="111" spans="1:3" x14ac:dyDescent="0.3">
      <c r="A111" t="s">
        <v>10</v>
      </c>
      <c r="B111" s="4">
        <v>11</v>
      </c>
      <c r="C111">
        <v>109</v>
      </c>
    </row>
    <row r="112" spans="1:3" x14ac:dyDescent="0.3">
      <c r="A112" t="s">
        <v>10</v>
      </c>
      <c r="B112" s="4">
        <v>11</v>
      </c>
      <c r="C112">
        <v>110</v>
      </c>
    </row>
    <row r="113" spans="1:3" x14ac:dyDescent="0.3">
      <c r="A113" t="s">
        <v>10</v>
      </c>
      <c r="B113" s="4">
        <v>11</v>
      </c>
      <c r="C113">
        <v>111</v>
      </c>
    </row>
    <row r="114" spans="1:3" x14ac:dyDescent="0.3">
      <c r="A114" t="s">
        <v>10</v>
      </c>
      <c r="B114" s="4">
        <v>11</v>
      </c>
      <c r="C114">
        <v>112</v>
      </c>
    </row>
    <row r="115" spans="1:3" x14ac:dyDescent="0.3">
      <c r="A115" t="s">
        <v>10</v>
      </c>
      <c r="B115" s="4">
        <v>11</v>
      </c>
      <c r="C115">
        <v>113</v>
      </c>
    </row>
    <row r="116" spans="1:3" x14ac:dyDescent="0.3">
      <c r="A116" t="s">
        <v>10</v>
      </c>
      <c r="B116" s="4">
        <v>11</v>
      </c>
      <c r="C116">
        <v>114</v>
      </c>
    </row>
    <row r="117" spans="1:3" x14ac:dyDescent="0.3">
      <c r="A117" t="s">
        <v>10</v>
      </c>
      <c r="B117" s="4">
        <v>11</v>
      </c>
      <c r="C117">
        <v>115</v>
      </c>
    </row>
    <row r="118" spans="1:3" x14ac:dyDescent="0.3">
      <c r="A118" t="s">
        <v>10</v>
      </c>
      <c r="B118" s="4">
        <v>11</v>
      </c>
      <c r="C118">
        <v>116</v>
      </c>
    </row>
    <row r="119" spans="1:3" x14ac:dyDescent="0.3">
      <c r="A119" t="s">
        <v>10</v>
      </c>
      <c r="B119" s="4">
        <v>11</v>
      </c>
      <c r="C119">
        <v>117</v>
      </c>
    </row>
    <row r="120" spans="1:3" x14ac:dyDescent="0.3">
      <c r="A120" t="s">
        <v>11</v>
      </c>
      <c r="B120" s="4">
        <v>12</v>
      </c>
      <c r="C120">
        <v>118</v>
      </c>
    </row>
    <row r="121" spans="1:3" x14ac:dyDescent="0.3">
      <c r="A121" t="s">
        <v>11</v>
      </c>
      <c r="B121" s="4">
        <v>12</v>
      </c>
      <c r="C121">
        <v>119</v>
      </c>
    </row>
    <row r="122" spans="1:3" x14ac:dyDescent="0.3">
      <c r="A122" t="s">
        <v>11</v>
      </c>
      <c r="B122" s="4">
        <v>12</v>
      </c>
      <c r="C122">
        <v>120</v>
      </c>
    </row>
    <row r="123" spans="1:3" x14ac:dyDescent="0.3">
      <c r="A123" t="s">
        <v>11</v>
      </c>
      <c r="B123" s="4">
        <v>12</v>
      </c>
      <c r="C123">
        <v>121</v>
      </c>
    </row>
    <row r="124" spans="1:3" x14ac:dyDescent="0.3">
      <c r="A124" t="s">
        <v>11</v>
      </c>
      <c r="B124" s="4">
        <v>12</v>
      </c>
      <c r="C124">
        <v>122</v>
      </c>
    </row>
    <row r="125" spans="1:3" x14ac:dyDescent="0.3">
      <c r="A125" t="s">
        <v>11</v>
      </c>
      <c r="B125" s="4">
        <v>12</v>
      </c>
      <c r="C125">
        <v>123</v>
      </c>
    </row>
    <row r="126" spans="1:3" x14ac:dyDescent="0.3">
      <c r="A126" t="s">
        <v>11</v>
      </c>
      <c r="B126" s="4">
        <v>12</v>
      </c>
      <c r="C126">
        <v>124</v>
      </c>
    </row>
    <row r="127" spans="1:3" x14ac:dyDescent="0.3">
      <c r="A127" t="s">
        <v>11</v>
      </c>
      <c r="B127" s="4">
        <v>12</v>
      </c>
      <c r="C127">
        <v>125</v>
      </c>
    </row>
    <row r="128" spans="1:3" x14ac:dyDescent="0.3">
      <c r="A128" t="s">
        <v>11</v>
      </c>
      <c r="B128" s="4">
        <v>12</v>
      </c>
      <c r="C128">
        <v>126</v>
      </c>
    </row>
    <row r="129" spans="1:3" x14ac:dyDescent="0.3">
      <c r="A129" t="s">
        <v>11</v>
      </c>
      <c r="B129" s="4">
        <v>12</v>
      </c>
      <c r="C129">
        <v>127</v>
      </c>
    </row>
    <row r="130" spans="1:3" x14ac:dyDescent="0.3">
      <c r="A130" t="s">
        <v>11</v>
      </c>
      <c r="B130" s="4">
        <v>12</v>
      </c>
      <c r="C130">
        <v>128</v>
      </c>
    </row>
    <row r="131" spans="1:3" x14ac:dyDescent="0.3">
      <c r="A131" t="s">
        <v>11</v>
      </c>
      <c r="B131" s="4">
        <v>12</v>
      </c>
      <c r="C131">
        <v>129</v>
      </c>
    </row>
    <row r="132" spans="1:3" x14ac:dyDescent="0.3">
      <c r="A132" t="s">
        <v>11</v>
      </c>
      <c r="B132" s="4">
        <v>12</v>
      </c>
      <c r="C132">
        <v>130</v>
      </c>
    </row>
    <row r="133" spans="1:3" x14ac:dyDescent="0.3">
      <c r="A133" t="s">
        <v>11</v>
      </c>
      <c r="B133" s="4">
        <v>12</v>
      </c>
      <c r="C133">
        <v>131</v>
      </c>
    </row>
    <row r="134" spans="1:3" x14ac:dyDescent="0.3">
      <c r="A134" t="s">
        <v>11</v>
      </c>
      <c r="B134" s="4">
        <v>12</v>
      </c>
      <c r="C134">
        <v>132</v>
      </c>
    </row>
    <row r="135" spans="1:3" x14ac:dyDescent="0.3">
      <c r="A135" t="s">
        <v>11</v>
      </c>
      <c r="B135" s="4">
        <v>12</v>
      </c>
      <c r="C135">
        <v>133</v>
      </c>
    </row>
    <row r="136" spans="1:3" x14ac:dyDescent="0.3">
      <c r="A136" t="s">
        <v>11</v>
      </c>
      <c r="B136" s="4">
        <v>13</v>
      </c>
      <c r="C136">
        <v>134</v>
      </c>
    </row>
    <row r="137" spans="1:3" x14ac:dyDescent="0.3">
      <c r="A137" t="s">
        <v>11</v>
      </c>
      <c r="B137" s="4">
        <v>13</v>
      </c>
      <c r="C137">
        <v>135</v>
      </c>
    </row>
    <row r="138" spans="1:3" x14ac:dyDescent="0.3">
      <c r="A138" t="s">
        <v>11</v>
      </c>
      <c r="B138" s="4">
        <v>13</v>
      </c>
      <c r="C138">
        <v>136</v>
      </c>
    </row>
    <row r="139" spans="1:3" x14ac:dyDescent="0.3">
      <c r="A139" t="s">
        <v>11</v>
      </c>
      <c r="B139" s="4">
        <v>13</v>
      </c>
      <c r="C139">
        <v>137</v>
      </c>
    </row>
    <row r="140" spans="1:3" x14ac:dyDescent="0.3">
      <c r="A140" t="s">
        <v>11</v>
      </c>
      <c r="B140" s="4">
        <v>13</v>
      </c>
      <c r="C140">
        <v>138</v>
      </c>
    </row>
    <row r="141" spans="1:3" x14ac:dyDescent="0.3">
      <c r="A141" t="s">
        <v>11</v>
      </c>
      <c r="B141" s="4">
        <v>13</v>
      </c>
      <c r="C141">
        <v>139</v>
      </c>
    </row>
    <row r="142" spans="1:3" x14ac:dyDescent="0.3">
      <c r="A142" t="s">
        <v>11</v>
      </c>
      <c r="B142" s="4">
        <v>13</v>
      </c>
      <c r="C142">
        <v>140</v>
      </c>
    </row>
    <row r="143" spans="1:3" x14ac:dyDescent="0.3">
      <c r="A143" t="s">
        <v>11</v>
      </c>
      <c r="B143" s="4">
        <v>13</v>
      </c>
      <c r="C143">
        <v>141</v>
      </c>
    </row>
    <row r="144" spans="1:3" x14ac:dyDescent="0.3">
      <c r="A144" t="s">
        <v>11</v>
      </c>
      <c r="B144" s="4">
        <v>13</v>
      </c>
      <c r="C144">
        <v>142</v>
      </c>
    </row>
    <row r="145" spans="1:3" x14ac:dyDescent="0.3">
      <c r="A145" t="s">
        <v>11</v>
      </c>
      <c r="B145" s="4">
        <v>13</v>
      </c>
      <c r="C145">
        <v>143</v>
      </c>
    </row>
    <row r="146" spans="1:3" x14ac:dyDescent="0.3">
      <c r="A146" t="s">
        <v>11</v>
      </c>
      <c r="B146" s="4">
        <v>13</v>
      </c>
      <c r="C146">
        <v>144</v>
      </c>
    </row>
    <row r="147" spans="1:3" x14ac:dyDescent="0.3">
      <c r="A147" t="s">
        <v>11</v>
      </c>
      <c r="B147" s="4">
        <v>13</v>
      </c>
      <c r="C147">
        <v>145</v>
      </c>
    </row>
    <row r="148" spans="1:3" x14ac:dyDescent="0.3">
      <c r="A148" t="s">
        <v>11</v>
      </c>
      <c r="B148" s="4">
        <v>13</v>
      </c>
      <c r="C148">
        <v>146</v>
      </c>
    </row>
    <row r="149" spans="1:3" x14ac:dyDescent="0.3">
      <c r="A149" t="s">
        <v>11</v>
      </c>
      <c r="B149" s="4">
        <v>13</v>
      </c>
      <c r="C149">
        <v>147</v>
      </c>
    </row>
    <row r="150" spans="1:3" x14ac:dyDescent="0.3">
      <c r="A150" t="s">
        <v>11</v>
      </c>
      <c r="B150" s="4">
        <v>13</v>
      </c>
      <c r="C150">
        <v>148</v>
      </c>
    </row>
    <row r="151" spans="1:3" x14ac:dyDescent="0.3">
      <c r="A151" t="s">
        <v>11</v>
      </c>
      <c r="B151" s="4">
        <v>13</v>
      </c>
      <c r="C151">
        <v>149</v>
      </c>
    </row>
    <row r="152" spans="1:3" x14ac:dyDescent="0.3">
      <c r="A152" t="s">
        <v>11</v>
      </c>
      <c r="B152" s="4">
        <v>14</v>
      </c>
      <c r="C152">
        <v>150</v>
      </c>
    </row>
    <row r="153" spans="1:3" x14ac:dyDescent="0.3">
      <c r="A153" t="s">
        <v>11</v>
      </c>
      <c r="B153" s="4">
        <v>14</v>
      </c>
      <c r="C153">
        <v>151</v>
      </c>
    </row>
    <row r="154" spans="1:3" x14ac:dyDescent="0.3">
      <c r="A154" t="s">
        <v>11</v>
      </c>
      <c r="B154" s="4">
        <v>14</v>
      </c>
      <c r="C154">
        <v>152</v>
      </c>
    </row>
    <row r="155" spans="1:3" x14ac:dyDescent="0.3">
      <c r="A155" t="s">
        <v>11</v>
      </c>
      <c r="B155" s="4">
        <v>14</v>
      </c>
      <c r="C155">
        <v>153</v>
      </c>
    </row>
    <row r="156" spans="1:3" x14ac:dyDescent="0.3">
      <c r="A156" t="s">
        <v>11</v>
      </c>
      <c r="B156" s="4">
        <v>14</v>
      </c>
      <c r="C156">
        <v>154</v>
      </c>
    </row>
    <row r="157" spans="1:3" x14ac:dyDescent="0.3">
      <c r="A157" t="s">
        <v>11</v>
      </c>
      <c r="B157" s="4">
        <v>14</v>
      </c>
      <c r="C157">
        <v>155</v>
      </c>
    </row>
    <row r="158" spans="1:3" x14ac:dyDescent="0.3">
      <c r="A158" t="s">
        <v>11</v>
      </c>
      <c r="B158" s="4">
        <v>14</v>
      </c>
      <c r="C158">
        <v>156</v>
      </c>
    </row>
    <row r="159" spans="1:3" x14ac:dyDescent="0.3">
      <c r="A159" t="s">
        <v>11</v>
      </c>
      <c r="B159" s="4">
        <v>14</v>
      </c>
      <c r="C159">
        <v>157</v>
      </c>
    </row>
    <row r="160" spans="1:3" x14ac:dyDescent="0.3">
      <c r="A160" t="s">
        <v>11</v>
      </c>
      <c r="B160" s="4">
        <v>14</v>
      </c>
      <c r="C160">
        <v>158</v>
      </c>
    </row>
    <row r="161" spans="1:3" x14ac:dyDescent="0.3">
      <c r="A161" t="s">
        <v>11</v>
      </c>
      <c r="B161" s="4">
        <v>14</v>
      </c>
      <c r="C161">
        <v>159</v>
      </c>
    </row>
    <row r="162" spans="1:3" x14ac:dyDescent="0.3">
      <c r="A162" t="s">
        <v>11</v>
      </c>
      <c r="B162" s="4">
        <v>14</v>
      </c>
      <c r="C162">
        <v>160</v>
      </c>
    </row>
    <row r="163" spans="1:3" x14ac:dyDescent="0.3">
      <c r="A163" t="s">
        <v>11</v>
      </c>
      <c r="B163" s="4">
        <v>14</v>
      </c>
      <c r="C163">
        <v>161</v>
      </c>
    </row>
    <row r="164" spans="1:3" x14ac:dyDescent="0.3">
      <c r="A164" t="s">
        <v>11</v>
      </c>
      <c r="B164" s="4">
        <v>14</v>
      </c>
      <c r="C164">
        <v>162</v>
      </c>
    </row>
    <row r="165" spans="1:3" x14ac:dyDescent="0.3">
      <c r="A165" t="s">
        <v>11</v>
      </c>
      <c r="B165" s="4">
        <v>14</v>
      </c>
      <c r="C165">
        <v>163</v>
      </c>
    </row>
    <row r="166" spans="1:3" x14ac:dyDescent="0.3">
      <c r="A166" t="s">
        <v>11</v>
      </c>
      <c r="B166" s="4">
        <v>14</v>
      </c>
      <c r="C166">
        <v>164</v>
      </c>
    </row>
    <row r="167" spans="1:3" x14ac:dyDescent="0.3">
      <c r="A167" t="s">
        <v>11</v>
      </c>
      <c r="B167" s="4">
        <v>14</v>
      </c>
      <c r="C167">
        <v>165</v>
      </c>
    </row>
    <row r="168" spans="1:3" x14ac:dyDescent="0.3">
      <c r="A168" t="s">
        <v>11</v>
      </c>
      <c r="B168" s="4">
        <v>14</v>
      </c>
      <c r="C168">
        <v>166</v>
      </c>
    </row>
    <row r="169" spans="1:3" x14ac:dyDescent="0.3">
      <c r="A169" t="s">
        <v>11</v>
      </c>
      <c r="B169" s="4">
        <v>15</v>
      </c>
      <c r="C169">
        <v>167</v>
      </c>
    </row>
    <row r="170" spans="1:3" x14ac:dyDescent="0.3">
      <c r="A170" t="s">
        <v>11</v>
      </c>
      <c r="B170" s="4">
        <v>15</v>
      </c>
      <c r="C170">
        <v>168</v>
      </c>
    </row>
    <row r="171" spans="1:3" x14ac:dyDescent="0.3">
      <c r="A171" t="s">
        <v>11</v>
      </c>
      <c r="B171" s="4">
        <v>15</v>
      </c>
      <c r="C171">
        <v>169</v>
      </c>
    </row>
    <row r="172" spans="1:3" x14ac:dyDescent="0.3">
      <c r="A172" t="s">
        <v>11</v>
      </c>
      <c r="B172" s="4">
        <v>15</v>
      </c>
      <c r="C172">
        <v>170</v>
      </c>
    </row>
    <row r="173" spans="1:3" x14ac:dyDescent="0.3">
      <c r="A173" t="s">
        <v>11</v>
      </c>
      <c r="B173" s="4">
        <v>15</v>
      </c>
      <c r="C173">
        <v>171</v>
      </c>
    </row>
    <row r="174" spans="1:3" x14ac:dyDescent="0.3">
      <c r="A174" t="s">
        <v>11</v>
      </c>
      <c r="B174" s="4">
        <v>15</v>
      </c>
      <c r="C174">
        <v>172</v>
      </c>
    </row>
    <row r="175" spans="1:3" x14ac:dyDescent="0.3">
      <c r="A175" t="s">
        <v>11</v>
      </c>
      <c r="B175" s="4">
        <v>15</v>
      </c>
      <c r="C175">
        <v>173</v>
      </c>
    </row>
    <row r="176" spans="1:3" x14ac:dyDescent="0.3">
      <c r="A176" t="s">
        <v>11</v>
      </c>
      <c r="B176" s="4">
        <v>15</v>
      </c>
      <c r="C176">
        <v>174</v>
      </c>
    </row>
    <row r="177" spans="1:3" x14ac:dyDescent="0.3">
      <c r="A177" t="s">
        <v>11</v>
      </c>
      <c r="B177" s="4">
        <v>15</v>
      </c>
      <c r="C177">
        <v>175</v>
      </c>
    </row>
    <row r="178" spans="1:3" x14ac:dyDescent="0.3">
      <c r="A178" t="s">
        <v>11</v>
      </c>
      <c r="B178" s="4">
        <v>15</v>
      </c>
      <c r="C178">
        <v>176</v>
      </c>
    </row>
    <row r="179" spans="1:3" x14ac:dyDescent="0.3">
      <c r="A179" t="s">
        <v>11</v>
      </c>
      <c r="B179" s="4">
        <v>15</v>
      </c>
      <c r="C179">
        <v>177</v>
      </c>
    </row>
    <row r="180" spans="1:3" x14ac:dyDescent="0.3">
      <c r="A180" t="s">
        <v>11</v>
      </c>
      <c r="B180" s="4">
        <v>15</v>
      </c>
      <c r="C180">
        <v>178</v>
      </c>
    </row>
    <row r="181" spans="1:3" x14ac:dyDescent="0.3">
      <c r="A181" t="s">
        <v>11</v>
      </c>
      <c r="B181" s="4">
        <v>15</v>
      </c>
      <c r="C181">
        <v>179</v>
      </c>
    </row>
    <row r="182" spans="1:3" x14ac:dyDescent="0.3">
      <c r="A182" t="s">
        <v>11</v>
      </c>
      <c r="B182" s="4">
        <v>15</v>
      </c>
      <c r="C182">
        <v>180</v>
      </c>
    </row>
    <row r="183" spans="1:3" x14ac:dyDescent="0.3">
      <c r="A183" t="s">
        <v>11</v>
      </c>
      <c r="B183" s="4">
        <v>15</v>
      </c>
      <c r="C183">
        <v>181</v>
      </c>
    </row>
    <row r="184" spans="1:3" x14ac:dyDescent="0.3">
      <c r="A184" t="s">
        <v>11</v>
      </c>
      <c r="B184" s="4">
        <v>15</v>
      </c>
      <c r="C184">
        <v>182</v>
      </c>
    </row>
    <row r="185" spans="1:3" x14ac:dyDescent="0.3">
      <c r="A185" t="s">
        <v>11</v>
      </c>
      <c r="B185" s="4">
        <v>15</v>
      </c>
      <c r="C185">
        <v>183</v>
      </c>
    </row>
    <row r="186" spans="1:3" x14ac:dyDescent="0.3">
      <c r="A186" t="s">
        <v>23</v>
      </c>
      <c r="B186" s="4">
        <v>16</v>
      </c>
      <c r="C186">
        <v>184</v>
      </c>
    </row>
    <row r="187" spans="1:3" x14ac:dyDescent="0.3">
      <c r="A187" t="s">
        <v>23</v>
      </c>
      <c r="B187" s="4">
        <v>16</v>
      </c>
      <c r="C187">
        <v>185</v>
      </c>
    </row>
    <row r="188" spans="1:3" x14ac:dyDescent="0.3">
      <c r="A188" t="s">
        <v>23</v>
      </c>
      <c r="B188" s="4">
        <v>16</v>
      </c>
      <c r="C188">
        <v>186</v>
      </c>
    </row>
    <row r="189" spans="1:3" x14ac:dyDescent="0.3">
      <c r="A189" t="s">
        <v>23</v>
      </c>
      <c r="B189" s="4">
        <v>16</v>
      </c>
      <c r="C189">
        <v>187</v>
      </c>
    </row>
    <row r="190" spans="1:3" x14ac:dyDescent="0.3">
      <c r="A190" t="s">
        <v>23</v>
      </c>
      <c r="B190" s="4">
        <v>16</v>
      </c>
      <c r="C190">
        <v>188</v>
      </c>
    </row>
    <row r="191" spans="1:3" x14ac:dyDescent="0.3">
      <c r="A191" t="s">
        <v>23</v>
      </c>
      <c r="B191" s="4">
        <v>16</v>
      </c>
      <c r="C191">
        <v>189</v>
      </c>
    </row>
    <row r="192" spans="1:3" x14ac:dyDescent="0.3">
      <c r="A192" t="s">
        <v>23</v>
      </c>
      <c r="B192" s="4">
        <v>16</v>
      </c>
      <c r="C192">
        <v>190</v>
      </c>
    </row>
    <row r="193" spans="1:3" x14ac:dyDescent="0.3">
      <c r="A193" t="s">
        <v>23</v>
      </c>
      <c r="B193" s="4">
        <v>16</v>
      </c>
      <c r="C193">
        <v>191</v>
      </c>
    </row>
    <row r="194" spans="1:3" x14ac:dyDescent="0.3">
      <c r="A194" t="s">
        <v>23</v>
      </c>
      <c r="B194" s="4">
        <v>16</v>
      </c>
      <c r="C194">
        <v>192</v>
      </c>
    </row>
    <row r="195" spans="1:3" x14ac:dyDescent="0.3">
      <c r="A195" t="s">
        <v>23</v>
      </c>
      <c r="B195" s="4">
        <v>16</v>
      </c>
      <c r="C195">
        <v>193</v>
      </c>
    </row>
    <row r="196" spans="1:3" x14ac:dyDescent="0.3">
      <c r="A196" t="s">
        <v>23</v>
      </c>
      <c r="B196" s="4">
        <v>16</v>
      </c>
      <c r="C196">
        <v>194</v>
      </c>
    </row>
    <row r="197" spans="1:3" x14ac:dyDescent="0.3">
      <c r="A197" t="s">
        <v>23</v>
      </c>
      <c r="B197" s="4">
        <v>16</v>
      </c>
      <c r="C197">
        <v>195</v>
      </c>
    </row>
    <row r="198" spans="1:3" x14ac:dyDescent="0.3">
      <c r="A198" t="s">
        <v>23</v>
      </c>
      <c r="B198" s="4">
        <v>16</v>
      </c>
      <c r="C198">
        <v>196</v>
      </c>
    </row>
    <row r="199" spans="1:3" x14ac:dyDescent="0.3">
      <c r="A199" t="s">
        <v>23</v>
      </c>
      <c r="B199" s="4">
        <v>16</v>
      </c>
      <c r="C199">
        <v>197</v>
      </c>
    </row>
    <row r="200" spans="1:3" x14ac:dyDescent="0.3">
      <c r="A200" t="s">
        <v>23</v>
      </c>
      <c r="B200" s="4">
        <v>16</v>
      </c>
      <c r="C200">
        <v>198</v>
      </c>
    </row>
    <row r="201" spans="1:3" x14ac:dyDescent="0.3">
      <c r="A201" t="s">
        <v>23</v>
      </c>
      <c r="B201" s="4">
        <v>16</v>
      </c>
      <c r="C201">
        <v>199</v>
      </c>
    </row>
    <row r="202" spans="1:3" x14ac:dyDescent="0.3">
      <c r="A202" t="s">
        <v>23</v>
      </c>
      <c r="B202" s="4">
        <v>16</v>
      </c>
      <c r="C202">
        <v>200</v>
      </c>
    </row>
    <row r="203" spans="1:3" x14ac:dyDescent="0.3">
      <c r="A203" t="s">
        <v>23</v>
      </c>
      <c r="B203" s="4">
        <v>16</v>
      </c>
      <c r="C203">
        <v>201</v>
      </c>
    </row>
    <row r="204" spans="1:3" x14ac:dyDescent="0.3">
      <c r="A204" t="s">
        <v>23</v>
      </c>
      <c r="B204" s="4">
        <v>17</v>
      </c>
      <c r="C204">
        <v>202</v>
      </c>
    </row>
    <row r="205" spans="1:3" x14ac:dyDescent="0.3">
      <c r="A205" t="s">
        <v>23</v>
      </c>
      <c r="B205" s="4">
        <v>17</v>
      </c>
      <c r="C205">
        <v>203</v>
      </c>
    </row>
    <row r="206" spans="1:3" x14ac:dyDescent="0.3">
      <c r="A206" t="s">
        <v>23</v>
      </c>
      <c r="B206" s="4">
        <v>17</v>
      </c>
      <c r="C206">
        <v>204</v>
      </c>
    </row>
    <row r="207" spans="1:3" x14ac:dyDescent="0.3">
      <c r="A207" t="s">
        <v>23</v>
      </c>
      <c r="B207" s="4">
        <v>17</v>
      </c>
      <c r="C207">
        <v>205</v>
      </c>
    </row>
    <row r="208" spans="1:3" x14ac:dyDescent="0.3">
      <c r="A208" t="s">
        <v>23</v>
      </c>
      <c r="B208" s="4">
        <v>17</v>
      </c>
      <c r="C208">
        <v>206</v>
      </c>
    </row>
    <row r="209" spans="1:3" x14ac:dyDescent="0.3">
      <c r="A209" t="s">
        <v>23</v>
      </c>
      <c r="B209" s="4">
        <v>17</v>
      </c>
      <c r="C209">
        <v>207</v>
      </c>
    </row>
    <row r="210" spans="1:3" x14ac:dyDescent="0.3">
      <c r="A210" t="s">
        <v>23</v>
      </c>
      <c r="B210" s="4">
        <v>17</v>
      </c>
      <c r="C210">
        <v>208</v>
      </c>
    </row>
    <row r="211" spans="1:3" x14ac:dyDescent="0.3">
      <c r="A211" t="s">
        <v>23</v>
      </c>
      <c r="B211" s="4">
        <v>17</v>
      </c>
      <c r="C211">
        <v>209</v>
      </c>
    </row>
    <row r="212" spans="1:3" x14ac:dyDescent="0.3">
      <c r="A212" t="s">
        <v>23</v>
      </c>
      <c r="B212" s="4">
        <v>17</v>
      </c>
      <c r="C212">
        <v>210</v>
      </c>
    </row>
    <row r="213" spans="1:3" x14ac:dyDescent="0.3">
      <c r="A213" t="s">
        <v>23</v>
      </c>
      <c r="B213" s="4">
        <v>17</v>
      </c>
      <c r="C213">
        <v>211</v>
      </c>
    </row>
    <row r="214" spans="1:3" x14ac:dyDescent="0.3">
      <c r="A214" t="s">
        <v>23</v>
      </c>
      <c r="B214" s="4">
        <v>17</v>
      </c>
      <c r="C214">
        <v>212</v>
      </c>
    </row>
    <row r="215" spans="1:3" x14ac:dyDescent="0.3">
      <c r="A215" t="s">
        <v>23</v>
      </c>
      <c r="B215" s="4">
        <v>17</v>
      </c>
      <c r="C215">
        <v>213</v>
      </c>
    </row>
    <row r="216" spans="1:3" x14ac:dyDescent="0.3">
      <c r="A216" t="s">
        <v>23</v>
      </c>
      <c r="B216" s="4">
        <v>17</v>
      </c>
      <c r="C216">
        <v>214</v>
      </c>
    </row>
    <row r="217" spans="1:3" x14ac:dyDescent="0.3">
      <c r="A217" t="s">
        <v>23</v>
      </c>
      <c r="B217" s="4">
        <v>17</v>
      </c>
      <c r="C217">
        <v>215</v>
      </c>
    </row>
    <row r="218" spans="1:3" x14ac:dyDescent="0.3">
      <c r="A218" t="s">
        <v>23</v>
      </c>
      <c r="B218" s="4">
        <v>17</v>
      </c>
      <c r="C218">
        <v>216</v>
      </c>
    </row>
    <row r="219" spans="1:3" x14ac:dyDescent="0.3">
      <c r="A219" t="s">
        <v>23</v>
      </c>
      <c r="B219" s="4">
        <v>17</v>
      </c>
      <c r="C219">
        <v>217</v>
      </c>
    </row>
    <row r="220" spans="1:3" x14ac:dyDescent="0.3">
      <c r="A220" t="s">
        <v>23</v>
      </c>
      <c r="B220" s="4">
        <v>17</v>
      </c>
      <c r="C220">
        <v>218</v>
      </c>
    </row>
    <row r="221" spans="1:3" x14ac:dyDescent="0.3">
      <c r="A221" t="s">
        <v>23</v>
      </c>
      <c r="B221" s="4">
        <v>17</v>
      </c>
      <c r="C221">
        <v>219</v>
      </c>
    </row>
    <row r="222" spans="1:3" x14ac:dyDescent="0.3">
      <c r="A222" t="s">
        <v>23</v>
      </c>
      <c r="B222" s="4">
        <v>17</v>
      </c>
      <c r="C222">
        <v>220</v>
      </c>
    </row>
    <row r="223" spans="1:3" x14ac:dyDescent="0.3">
      <c r="A223" t="s">
        <v>23</v>
      </c>
      <c r="B223" s="4">
        <v>17</v>
      </c>
      <c r="C223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Thang_BF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2025-09-24T01:59:47Z</dcterms:created>
  <dcterms:modified xsi:type="dcterms:W3CDTF">2025-11-10T07:16:04Z</dcterms:modified>
</cp:coreProperties>
</file>