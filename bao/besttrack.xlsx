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lephong\besttrack\"/>
    </mc:Choice>
  </mc:AlternateContent>
  <xr:revisionPtr revIDLastSave="0" documentId="13_ncr:1_{A48E9CE3-A60D-4782-A5ED-835584CE75EE}" xr6:coauthVersionLast="41" xr6:coauthVersionMax="41" xr10:uidLastSave="{00000000-0000-0000-0000-000000000000}"/>
  <bookViews>
    <workbookView xWindow="-108" yWindow="-108" windowWidth="23256" windowHeight="13176" xr2:uid="{200DFEE9-A2E4-4DBE-B923-F59063FDB9E4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3" l="1"/>
  <c r="H9" i="3" s="1"/>
  <c r="I9" i="3" s="1"/>
  <c r="D11" i="3"/>
  <c r="E11" i="3" s="1"/>
  <c r="F11" i="3" s="1"/>
  <c r="F10" i="3"/>
  <c r="E10" i="3"/>
  <c r="D10" i="3"/>
</calcChain>
</file>

<file path=xl/sharedStrings.xml><?xml version="1.0" encoding="utf-8"?>
<sst xmlns="http://schemas.openxmlformats.org/spreadsheetml/2006/main" count="133" uniqueCount="51">
  <si>
    <t>lat</t>
  </si>
  <si>
    <t>lon</t>
  </si>
  <si>
    <t>trạng thái</t>
  </si>
  <si>
    <t>tốc độ di chuyển (km/h)</t>
  </si>
  <si>
    <t>ngày</t>
  </si>
  <si>
    <t>tháng</t>
  </si>
  <si>
    <t>thời gian (giờ)</t>
  </si>
  <si>
    <t>TS</t>
  </si>
  <si>
    <t>cường độ (cấp BF)</t>
  </si>
  <si>
    <t>hướng di chuyển</t>
  </si>
  <si>
    <t>Tây</t>
  </si>
  <si>
    <t>STS</t>
  </si>
  <si>
    <t>Tây Tây Bắc</t>
  </si>
  <si>
    <t>TY</t>
  </si>
  <si>
    <t>Tây Bắc</t>
  </si>
  <si>
    <t>Thời điểm</t>
  </si>
  <si>
    <t>quá khứ</t>
  </si>
  <si>
    <t>hiện tại</t>
  </si>
  <si>
    <t>dự báo</t>
  </si>
  <si>
    <t>bán kính gió mạnh cấp 6 (km)</t>
  </si>
  <si>
    <t>bán kính gió mạnh cấp 10 (km)</t>
  </si>
  <si>
    <t>bán kính tâm (km)</t>
  </si>
  <si>
    <t>Pmin (mb)</t>
  </si>
  <si>
    <t>Vmax (km/h)</t>
  </si>
  <si>
    <t>Ngày - giờ</t>
  </si>
  <si>
    <t>24/9 - 7h</t>
  </si>
  <si>
    <t>25/9 - 7h</t>
  </si>
  <si>
    <t>24/9 - 4h</t>
  </si>
  <si>
    <t>24/9 - 13h</t>
  </si>
  <si>
    <t>24/9 - 10h</t>
  </si>
  <si>
    <t>24/9 - 16h</t>
  </si>
  <si>
    <t>24/9 - 19h</t>
  </si>
  <si>
    <t>24/9 - 22h</t>
  </si>
  <si>
    <t>25/9 - 1h</t>
  </si>
  <si>
    <t>25/9 - 4h</t>
  </si>
  <si>
    <t>25/9 - 10h</t>
  </si>
  <si>
    <t>25/9 - 13h</t>
  </si>
  <si>
    <t>25/9 - 16h</t>
  </si>
  <si>
    <t>25/9 - 19h</t>
  </si>
  <si>
    <t>26/9 - 19h</t>
  </si>
  <si>
    <t>25/9 - 22h</t>
  </si>
  <si>
    <t>26/9 - 1h</t>
  </si>
  <si>
    <t>26/9 - 7h</t>
  </si>
  <si>
    <t>26/9 - 10h</t>
  </si>
  <si>
    <t>26/9 - 13h</t>
  </si>
  <si>
    <t>26/9 - 16h</t>
  </si>
  <si>
    <t>26/9 - 22h</t>
  </si>
  <si>
    <t>27/9 - 22h</t>
  </si>
  <si>
    <t>28/9 - 22h</t>
  </si>
  <si>
    <t>29/9 - 22h</t>
  </si>
  <si>
    <t>vungthap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</si>
</sst>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E4C3-91B7-454B-8189-4F841C1C9E71}">
  <dimension ref="A1:P28"/>
  <sheetViews>
    <sheetView tabSelected="1" zoomScale="70" zoomScaleNormal="70" workbookViewId="0">
      <selection activeCell="N32" sqref="N32"/>
    </sheetView>
  </sheetViews>
  <sheetFormatPr defaultRowHeight="14.4" x14ac:dyDescent="0.3"/>
  <cols>
    <col min="1" max="2" width="12" customWidth="1"/>
    <col min="3" max="3" width="12" bestFit="1" customWidth="1"/>
    <col min="4" max="4" width="4.77734375" bestFit="1" customWidth="1"/>
    <col min="5" max="5" width="5.5546875" bestFit="1" customWidth="1"/>
    <col min="6" max="6" width="8.33203125" customWidth="1"/>
    <col min="7" max="7" width="7" bestFit="1" customWidth="1"/>
    <col min="8" max="8" width="8.77734375" bestFit="1" customWidth="1"/>
    <col min="9" max="9" width="15.77734375" bestFit="1" customWidth="1"/>
    <col min="10" max="10" width="15.77734375" customWidth="1"/>
    <col min="11" max="11" width="20.44140625" bestFit="1" customWidth="1"/>
    <col min="12" max="12" width="14.44140625" bestFit="1" customWidth="1"/>
    <col min="14" max="14" width="11.44140625" customWidth="1"/>
    <col min="15" max="15" width="15.109375" customWidth="1"/>
  </cols>
  <sheetData>
    <row r="1" spans="1:16" x14ac:dyDescent="0.3">
      <c r="A1" t="s">
        <v>15</v>
      </c>
      <c r="B1" t="s">
        <v>24</v>
      </c>
      <c r="C1" t="s">
        <v>6</v>
      </c>
      <c r="D1" t="s">
        <v>4</v>
      </c>
      <c r="E1" t="s">
        <v>5</v>
      </c>
      <c r="F1" t="s">
        <v>0</v>
      </c>
      <c r="G1" t="s">
        <v>1</v>
      </c>
      <c r="H1" t="s">
        <v>2</v>
      </c>
      <c r="I1" t="s">
        <v>8</v>
      </c>
      <c r="J1" t="s">
        <v>23</v>
      </c>
      <c r="K1" t="s">
        <v>3</v>
      </c>
      <c r="L1" t="s">
        <v>9</v>
      </c>
      <c r="M1" t="s">
        <v>22</v>
      </c>
      <c r="N1" t="s">
        <v>19</v>
      </c>
      <c r="O1" t="s">
        <v>20</v>
      </c>
      <c r="P1" t="s">
        <v>21</v>
      </c>
    </row>
    <row r="2" spans="1:16" x14ac:dyDescent="0.3">
      <c r="A2" t="s">
        <v>16</v>
      </c>
      <c r="B2" t="s">
        <v>27</v>
      </c>
      <c r="C2">
        <v>4</v>
      </c>
      <c r="D2">
        <v>24</v>
      </c>
      <c r="E2">
        <v>9</v>
      </c>
      <c r="F2">
        <v>10.1</v>
      </c>
      <c r="G2">
        <v>133.30000000000001</v>
      </c>
      <c r="H2" t="s">
        <v>7</v>
      </c>
      <c r="I2">
        <v>8</v>
      </c>
      <c r="J2">
        <v>62</v>
      </c>
      <c r="K2">
        <v>15</v>
      </c>
      <c r="L2" t="s">
        <v>10</v>
      </c>
      <c r="M2">
        <v>1000</v>
      </c>
    </row>
    <row r="3" spans="1:16" x14ac:dyDescent="0.3">
      <c r="A3" t="s">
        <v>16</v>
      </c>
      <c r="B3" t="s">
        <v>25</v>
      </c>
      <c r="C3">
        <v>7</v>
      </c>
      <c r="D3">
        <v>24</v>
      </c>
      <c r="E3">
        <v>9</v>
      </c>
      <c r="F3">
        <v>9.8000000000000007</v>
      </c>
      <c r="G3">
        <v>132.4</v>
      </c>
      <c r="H3" t="s">
        <v>7</v>
      </c>
      <c r="I3">
        <v>8</v>
      </c>
      <c r="J3">
        <v>70</v>
      </c>
      <c r="K3">
        <v>20</v>
      </c>
      <c r="L3" t="s">
        <v>10</v>
      </c>
      <c r="M3">
        <v>996</v>
      </c>
    </row>
    <row r="4" spans="1:16" x14ac:dyDescent="0.3">
      <c r="A4" t="s">
        <v>16</v>
      </c>
      <c r="B4" t="s">
        <v>29</v>
      </c>
      <c r="C4">
        <v>10</v>
      </c>
      <c r="D4">
        <v>24</v>
      </c>
      <c r="E4">
        <v>9</v>
      </c>
      <c r="F4">
        <v>10</v>
      </c>
      <c r="G4">
        <v>132</v>
      </c>
      <c r="H4" t="s">
        <v>7</v>
      </c>
      <c r="I4">
        <v>8</v>
      </c>
      <c r="J4">
        <v>74</v>
      </c>
      <c r="K4">
        <v>16</v>
      </c>
      <c r="L4" t="s">
        <v>12</v>
      </c>
      <c r="M4">
        <v>995</v>
      </c>
    </row>
    <row r="5" spans="1:16" x14ac:dyDescent="0.3">
      <c r="A5" t="s">
        <v>16</v>
      </c>
      <c r="B5" t="s">
        <v>28</v>
      </c>
      <c r="C5">
        <v>13</v>
      </c>
      <c r="D5">
        <v>24</v>
      </c>
      <c r="E5">
        <v>9</v>
      </c>
      <c r="F5">
        <v>10.199999999999999</v>
      </c>
      <c r="G5">
        <v>131.69999999999999</v>
      </c>
      <c r="H5" t="s">
        <v>7</v>
      </c>
      <c r="I5">
        <v>8</v>
      </c>
      <c r="J5">
        <v>75</v>
      </c>
      <c r="K5">
        <v>16</v>
      </c>
      <c r="L5" t="s">
        <v>12</v>
      </c>
      <c r="M5">
        <v>995</v>
      </c>
    </row>
    <row r="6" spans="1:16" x14ac:dyDescent="0.3">
      <c r="A6" t="s">
        <v>16</v>
      </c>
      <c r="B6" t="s">
        <v>31</v>
      </c>
      <c r="C6">
        <v>16</v>
      </c>
      <c r="D6">
        <v>24</v>
      </c>
      <c r="E6">
        <v>9</v>
      </c>
      <c r="F6">
        <v>10.199999999999999</v>
      </c>
      <c r="G6">
        <v>131.6</v>
      </c>
      <c r="H6" t="s">
        <v>7</v>
      </c>
      <c r="I6">
        <v>8</v>
      </c>
      <c r="J6">
        <v>75</v>
      </c>
      <c r="K6">
        <v>16</v>
      </c>
      <c r="L6" t="s">
        <v>12</v>
      </c>
      <c r="M6">
        <v>996</v>
      </c>
    </row>
    <row r="7" spans="1:16" x14ac:dyDescent="0.3">
      <c r="A7" t="s">
        <v>16</v>
      </c>
      <c r="B7" t="s">
        <v>30</v>
      </c>
      <c r="C7">
        <v>19</v>
      </c>
      <c r="D7">
        <v>24</v>
      </c>
      <c r="E7">
        <v>9</v>
      </c>
      <c r="F7">
        <v>10.4</v>
      </c>
      <c r="G7">
        <v>131.30000000000001</v>
      </c>
      <c r="H7" t="s">
        <v>7</v>
      </c>
      <c r="I7">
        <v>9</v>
      </c>
      <c r="J7">
        <v>85</v>
      </c>
      <c r="K7">
        <v>20</v>
      </c>
      <c r="L7" t="s">
        <v>12</v>
      </c>
      <c r="M7">
        <v>990</v>
      </c>
    </row>
    <row r="8" spans="1:16" x14ac:dyDescent="0.3">
      <c r="A8" t="s">
        <v>16</v>
      </c>
      <c r="B8" t="s">
        <v>32</v>
      </c>
      <c r="C8">
        <v>22</v>
      </c>
      <c r="D8">
        <v>24</v>
      </c>
      <c r="E8">
        <v>9</v>
      </c>
      <c r="F8">
        <v>10.5</v>
      </c>
      <c r="G8">
        <v>131.1</v>
      </c>
      <c r="H8" t="s">
        <v>11</v>
      </c>
      <c r="I8">
        <v>10</v>
      </c>
      <c r="J8">
        <v>90</v>
      </c>
      <c r="K8">
        <v>25</v>
      </c>
      <c r="L8" t="s">
        <v>12</v>
      </c>
      <c r="M8">
        <v>982</v>
      </c>
    </row>
    <row r="9" spans="1:16" x14ac:dyDescent="0.3">
      <c r="A9" t="s">
        <v>16</v>
      </c>
      <c r="B9" t="s">
        <v>34</v>
      </c>
      <c r="C9">
        <v>1</v>
      </c>
      <c r="D9">
        <v>25</v>
      </c>
      <c r="E9">
        <v>9</v>
      </c>
      <c r="F9">
        <v>10.6</v>
      </c>
      <c r="G9">
        <v>130.19999999999999</v>
      </c>
      <c r="H9" t="s">
        <v>11</v>
      </c>
      <c r="I9">
        <v>10</v>
      </c>
      <c r="J9">
        <v>100</v>
      </c>
      <c r="K9">
        <v>25</v>
      </c>
      <c r="L9" t="s">
        <v>12</v>
      </c>
      <c r="M9">
        <v>982</v>
      </c>
    </row>
    <row r="10" spans="1:16" x14ac:dyDescent="0.3">
      <c r="A10" t="s">
        <v>16</v>
      </c>
      <c r="B10" t="s">
        <v>33</v>
      </c>
      <c r="C10">
        <v>4</v>
      </c>
      <c r="D10">
        <v>25</v>
      </c>
      <c r="E10">
        <v>9</v>
      </c>
      <c r="F10">
        <v>10.7</v>
      </c>
      <c r="G10">
        <v>129.1</v>
      </c>
      <c r="H10" t="s">
        <v>11</v>
      </c>
      <c r="I10">
        <v>11</v>
      </c>
      <c r="J10">
        <v>110</v>
      </c>
      <c r="K10">
        <v>25</v>
      </c>
      <c r="L10" t="s">
        <v>12</v>
      </c>
      <c r="M10">
        <v>980</v>
      </c>
    </row>
    <row r="11" spans="1:16" x14ac:dyDescent="0.3">
      <c r="A11" t="s">
        <v>16</v>
      </c>
      <c r="B11" t="s">
        <v>26</v>
      </c>
      <c r="C11">
        <v>7</v>
      </c>
      <c r="D11">
        <v>25</v>
      </c>
      <c r="E11">
        <v>9</v>
      </c>
      <c r="F11">
        <v>10.8</v>
      </c>
      <c r="G11">
        <v>128.30000000000001</v>
      </c>
      <c r="H11" t="s">
        <v>11</v>
      </c>
      <c r="I11">
        <v>11</v>
      </c>
      <c r="J11">
        <v>115</v>
      </c>
      <c r="K11">
        <v>20</v>
      </c>
      <c r="L11" t="s">
        <v>12</v>
      </c>
      <c r="M11">
        <v>980</v>
      </c>
    </row>
    <row r="12" spans="1:16" x14ac:dyDescent="0.3">
      <c r="A12" t="s">
        <v>16</v>
      </c>
      <c r="B12" t="s">
        <v>35</v>
      </c>
      <c r="C12">
        <v>10</v>
      </c>
      <c r="D12">
        <v>25</v>
      </c>
      <c r="E12">
        <v>9</v>
      </c>
      <c r="F12">
        <v>10.9</v>
      </c>
      <c r="G12">
        <v>127.9</v>
      </c>
      <c r="H12" t="s">
        <v>11</v>
      </c>
      <c r="I12">
        <v>11</v>
      </c>
      <c r="J12">
        <v>117</v>
      </c>
      <c r="K12">
        <v>25</v>
      </c>
      <c r="L12" t="s">
        <v>12</v>
      </c>
      <c r="M12">
        <v>980</v>
      </c>
    </row>
    <row r="13" spans="1:16" x14ac:dyDescent="0.3">
      <c r="A13" t="s">
        <v>16</v>
      </c>
      <c r="B13" t="s">
        <v>36</v>
      </c>
      <c r="C13">
        <v>13</v>
      </c>
      <c r="D13">
        <v>25</v>
      </c>
      <c r="E13">
        <v>9</v>
      </c>
      <c r="F13">
        <v>11</v>
      </c>
      <c r="G13">
        <v>127.4</v>
      </c>
      <c r="H13" t="s">
        <v>13</v>
      </c>
      <c r="I13">
        <v>12</v>
      </c>
      <c r="J13">
        <v>120</v>
      </c>
      <c r="K13">
        <v>30</v>
      </c>
      <c r="L13" t="s">
        <v>12</v>
      </c>
      <c r="M13">
        <v>975</v>
      </c>
    </row>
    <row r="14" spans="1:16" x14ac:dyDescent="0.3">
      <c r="A14" t="s">
        <v>16</v>
      </c>
      <c r="B14" t="s">
        <v>37</v>
      </c>
      <c r="C14">
        <v>16</v>
      </c>
      <c r="D14">
        <v>25</v>
      </c>
      <c r="E14">
        <v>9</v>
      </c>
      <c r="F14">
        <v>11.5</v>
      </c>
      <c r="G14">
        <v>127.2</v>
      </c>
      <c r="H14" t="s">
        <v>13</v>
      </c>
      <c r="I14">
        <v>12</v>
      </c>
      <c r="J14">
        <v>130</v>
      </c>
      <c r="K14">
        <v>30</v>
      </c>
      <c r="L14" t="s">
        <v>12</v>
      </c>
      <c r="M14">
        <v>970</v>
      </c>
    </row>
    <row r="15" spans="1:16" x14ac:dyDescent="0.3">
      <c r="A15" t="s">
        <v>16</v>
      </c>
      <c r="B15" t="s">
        <v>38</v>
      </c>
      <c r="C15">
        <v>19</v>
      </c>
      <c r="D15">
        <v>25</v>
      </c>
      <c r="E15">
        <v>9</v>
      </c>
      <c r="F15">
        <v>11.7</v>
      </c>
      <c r="G15">
        <v>126.8</v>
      </c>
      <c r="H15" t="s">
        <v>13</v>
      </c>
      <c r="I15">
        <v>12</v>
      </c>
      <c r="J15">
        <v>126</v>
      </c>
      <c r="K15">
        <v>30</v>
      </c>
      <c r="L15" t="s">
        <v>12</v>
      </c>
      <c r="M15">
        <v>970</v>
      </c>
    </row>
    <row r="16" spans="1:16" x14ac:dyDescent="0.3">
      <c r="A16" t="s">
        <v>16</v>
      </c>
      <c r="B16" t="s">
        <v>40</v>
      </c>
      <c r="C16">
        <v>22</v>
      </c>
      <c r="D16">
        <v>25</v>
      </c>
      <c r="E16">
        <v>9</v>
      </c>
      <c r="F16">
        <v>11.8</v>
      </c>
      <c r="G16">
        <v>126.1</v>
      </c>
      <c r="H16" t="s">
        <v>13</v>
      </c>
      <c r="I16">
        <v>12</v>
      </c>
      <c r="J16">
        <v>128</v>
      </c>
      <c r="K16">
        <v>35</v>
      </c>
      <c r="L16" t="s">
        <v>12</v>
      </c>
      <c r="M16">
        <v>970</v>
      </c>
    </row>
    <row r="17" spans="1:16" x14ac:dyDescent="0.3">
      <c r="A17" t="s">
        <v>16</v>
      </c>
      <c r="B17" t="s">
        <v>41</v>
      </c>
      <c r="C17">
        <v>1</v>
      </c>
      <c r="D17">
        <v>26</v>
      </c>
      <c r="E17">
        <v>9</v>
      </c>
      <c r="F17">
        <v>12.1</v>
      </c>
      <c r="G17">
        <v>124.9</v>
      </c>
      <c r="H17" t="s">
        <v>13</v>
      </c>
      <c r="I17">
        <v>12</v>
      </c>
      <c r="J17">
        <v>130</v>
      </c>
      <c r="K17">
        <v>35</v>
      </c>
      <c r="L17" t="s">
        <v>12</v>
      </c>
      <c r="M17">
        <v>975</v>
      </c>
    </row>
    <row r="18" spans="1:16" x14ac:dyDescent="0.3">
      <c r="A18" t="s">
        <v>16</v>
      </c>
      <c r="B18" t="s">
        <v>42</v>
      </c>
      <c r="C18">
        <v>4</v>
      </c>
      <c r="D18">
        <v>26</v>
      </c>
      <c r="E18">
        <v>9</v>
      </c>
      <c r="F18">
        <v>12.4</v>
      </c>
      <c r="G18">
        <v>124.1</v>
      </c>
      <c r="H18" t="s">
        <v>11</v>
      </c>
      <c r="I18">
        <v>11</v>
      </c>
      <c r="J18">
        <v>105</v>
      </c>
      <c r="K18">
        <v>35</v>
      </c>
      <c r="L18" t="s">
        <v>12</v>
      </c>
      <c r="M18">
        <v>980</v>
      </c>
    </row>
    <row r="19" spans="1:16" x14ac:dyDescent="0.3">
      <c r="A19" t="s">
        <v>16</v>
      </c>
      <c r="B19" t="s">
        <v>43</v>
      </c>
      <c r="C19">
        <v>7</v>
      </c>
      <c r="D19">
        <v>26</v>
      </c>
      <c r="E19">
        <v>9</v>
      </c>
      <c r="F19">
        <v>12.3</v>
      </c>
      <c r="G19">
        <v>122.8</v>
      </c>
      <c r="H19" t="s">
        <v>11</v>
      </c>
      <c r="I19">
        <v>11</v>
      </c>
      <c r="J19">
        <v>110</v>
      </c>
      <c r="K19">
        <v>35</v>
      </c>
      <c r="L19" t="s">
        <v>12</v>
      </c>
      <c r="M19">
        <v>980</v>
      </c>
    </row>
    <row r="20" spans="1:16" x14ac:dyDescent="0.3">
      <c r="A20" t="s">
        <v>16</v>
      </c>
      <c r="B20" t="s">
        <v>44</v>
      </c>
      <c r="C20">
        <v>10</v>
      </c>
      <c r="D20">
        <v>26</v>
      </c>
      <c r="E20">
        <v>9</v>
      </c>
      <c r="F20">
        <v>12.4</v>
      </c>
      <c r="G20">
        <v>122</v>
      </c>
      <c r="H20" t="s">
        <v>11</v>
      </c>
      <c r="I20">
        <v>11</v>
      </c>
      <c r="J20">
        <v>115</v>
      </c>
      <c r="K20">
        <v>35</v>
      </c>
      <c r="L20" t="s">
        <v>12</v>
      </c>
      <c r="M20">
        <v>980</v>
      </c>
    </row>
    <row r="21" spans="1:16" x14ac:dyDescent="0.3">
      <c r="A21" t="s">
        <v>16</v>
      </c>
      <c r="B21" t="s">
        <v>45</v>
      </c>
      <c r="C21">
        <v>13</v>
      </c>
      <c r="D21">
        <v>26</v>
      </c>
      <c r="E21">
        <v>9</v>
      </c>
      <c r="F21">
        <v>12.8</v>
      </c>
      <c r="G21">
        <v>121.2</v>
      </c>
      <c r="H21" t="s">
        <v>11</v>
      </c>
      <c r="I21">
        <v>11</v>
      </c>
      <c r="J21">
        <v>115</v>
      </c>
      <c r="K21">
        <v>35</v>
      </c>
      <c r="L21" t="s">
        <v>12</v>
      </c>
      <c r="M21">
        <v>980</v>
      </c>
    </row>
    <row r="22" spans="1:16" x14ac:dyDescent="0.3">
      <c r="A22" t="s">
        <v>16</v>
      </c>
      <c r="B22" t="s">
        <v>39</v>
      </c>
      <c r="C22">
        <v>16</v>
      </c>
      <c r="D22">
        <v>26</v>
      </c>
      <c r="E22">
        <v>9</v>
      </c>
      <c r="F22">
        <v>13</v>
      </c>
      <c r="G22">
        <v>120.2</v>
      </c>
      <c r="H22" t="s">
        <v>11</v>
      </c>
      <c r="I22">
        <v>11</v>
      </c>
      <c r="J22">
        <v>115</v>
      </c>
      <c r="K22">
        <v>35</v>
      </c>
      <c r="L22" t="s">
        <v>12</v>
      </c>
      <c r="M22">
        <v>980</v>
      </c>
    </row>
    <row r="23" spans="1:16" x14ac:dyDescent="0.3">
      <c r="A23" t="s">
        <v>17</v>
      </c>
      <c r="B23" t="s">
        <v>46</v>
      </c>
      <c r="C23">
        <v>22</v>
      </c>
      <c r="D23">
        <v>26</v>
      </c>
      <c r="E23">
        <v>9</v>
      </c>
      <c r="F23">
        <v>13.6</v>
      </c>
      <c r="G23">
        <v>118.2</v>
      </c>
      <c r="H23" t="s">
        <v>13</v>
      </c>
      <c r="I23">
        <v>13</v>
      </c>
      <c r="J23">
        <v>140</v>
      </c>
      <c r="K23">
        <v>30</v>
      </c>
      <c r="L23" t="s">
        <v>12</v>
      </c>
      <c r="M23">
        <v>965</v>
      </c>
      <c r="N23">
        <v>100</v>
      </c>
      <c r="O23">
        <v>60</v>
      </c>
      <c r="P23">
        <v>30</v>
      </c>
    </row>
    <row r="24" spans="1:16" x14ac:dyDescent="0.3">
      <c r="A24" t="s">
        <v>18</v>
      </c>
      <c r="B24" t="s">
        <v>47</v>
      </c>
      <c r="C24">
        <v>22</v>
      </c>
      <c r="D24">
        <v>27</v>
      </c>
      <c r="E24">
        <v>9</v>
      </c>
      <c r="F24">
        <v>15.7</v>
      </c>
      <c r="G24">
        <v>111.9</v>
      </c>
      <c r="H24" t="s">
        <v>13</v>
      </c>
      <c r="I24">
        <v>14</v>
      </c>
      <c r="J24">
        <v>162</v>
      </c>
      <c r="K24">
        <v>25</v>
      </c>
      <c r="L24" t="s">
        <v>12</v>
      </c>
      <c r="M24">
        <v>950</v>
      </c>
      <c r="N24">
        <v>150</v>
      </c>
      <c r="O24">
        <v>120</v>
      </c>
      <c r="P24">
        <v>80</v>
      </c>
    </row>
    <row r="25" spans="1:16" x14ac:dyDescent="0.3">
      <c r="A25" t="s">
        <v>18</v>
      </c>
      <c r="B25" t="s">
        <v>48</v>
      </c>
      <c r="C25">
        <v>22</v>
      </c>
      <c r="D25">
        <v>28</v>
      </c>
      <c r="E25">
        <v>9</v>
      </c>
      <c r="F25">
        <v>17.8</v>
      </c>
      <c r="G25">
        <v>107.1</v>
      </c>
      <c r="H25" t="s">
        <v>13</v>
      </c>
      <c r="I25">
        <v>13</v>
      </c>
      <c r="J25">
        <v>145</v>
      </c>
      <c r="K25">
        <v>25</v>
      </c>
      <c r="L25" t="s">
        <v>12</v>
      </c>
      <c r="M25">
        <v>960</v>
      </c>
      <c r="N25">
        <v>200</v>
      </c>
      <c r="O25">
        <v>180</v>
      </c>
      <c r="P25">
        <v>130</v>
      </c>
    </row>
    <row r="26" spans="1:16" x14ac:dyDescent="0.3">
      <c r="A26" t="s">
        <v>18</v>
      </c>
      <c r="B26" t="s">
        <v>49</v>
      </c>
      <c r="C26">
        <v>22</v>
      </c>
      <c r="D26">
        <v>29</v>
      </c>
      <c r="E26">
        <v>9</v>
      </c>
      <c r="F26">
        <v>19.8</v>
      </c>
      <c r="G26">
        <v>100.5</v>
      </c>
      <c r="H26" t="s">
        <v>50</v>
      </c>
      <c r="I26">
        <v>5</v>
      </c>
      <c r="J26">
        <v>25</v>
      </c>
      <c r="K26">
        <v>25</v>
      </c>
      <c r="L26" t="s">
        <v>14</v>
      </c>
      <c r="M26">
        <v>1002</v>
      </c>
      <c r="N26">
        <v>250</v>
      </c>
      <c r="O26">
        <v>0</v>
      </c>
      <c r="P26">
        <v>180</v>
      </c>
    </row>
    <row r="28" spans="1:16" x14ac:dyDescent="0.3">
      <c r="I28">
        <v>14</v>
      </c>
      <c r="J28">
        <v>162</v>
      </c>
      <c r="K28">
        <v>25</v>
      </c>
      <c r="L28" t="s">
        <v>12</v>
      </c>
      <c r="M28">
        <v>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36D1-C285-40E1-B6C3-052255A97C58}">
  <dimension ref="A2:P11"/>
  <sheetViews>
    <sheetView workbookViewId="0">
      <selection activeCell="A2" sqref="A2:XFD5"/>
    </sheetView>
  </sheetViews>
  <sheetFormatPr defaultRowHeight="14.4" x14ac:dyDescent="0.3"/>
  <sheetData>
    <row r="2" spans="1:16" x14ac:dyDescent="0.3">
      <c r="A2" t="s">
        <v>17</v>
      </c>
      <c r="B2" t="s">
        <v>46</v>
      </c>
      <c r="C2">
        <v>22</v>
      </c>
      <c r="D2">
        <v>26</v>
      </c>
      <c r="E2">
        <v>9</v>
      </c>
      <c r="F2">
        <v>13.6</v>
      </c>
      <c r="G2">
        <v>118.2</v>
      </c>
      <c r="H2" t="s">
        <v>13</v>
      </c>
      <c r="I2">
        <v>13</v>
      </c>
      <c r="J2">
        <v>140</v>
      </c>
      <c r="K2">
        <v>30</v>
      </c>
      <c r="L2" t="s">
        <v>12</v>
      </c>
      <c r="M2">
        <v>965</v>
      </c>
      <c r="N2">
        <v>200</v>
      </c>
      <c r="O2">
        <v>100</v>
      </c>
      <c r="P2">
        <v>50</v>
      </c>
    </row>
    <row r="3" spans="1:16" x14ac:dyDescent="0.3">
      <c r="A3" t="s">
        <v>18</v>
      </c>
      <c r="B3" t="s">
        <v>47</v>
      </c>
      <c r="C3">
        <v>22</v>
      </c>
      <c r="D3">
        <v>27</v>
      </c>
      <c r="E3">
        <v>9</v>
      </c>
      <c r="F3">
        <v>15.7</v>
      </c>
      <c r="G3">
        <v>111.7</v>
      </c>
      <c r="H3" t="s">
        <v>13</v>
      </c>
      <c r="I3">
        <v>13</v>
      </c>
      <c r="J3">
        <v>145</v>
      </c>
      <c r="K3">
        <v>25</v>
      </c>
      <c r="L3" t="s">
        <v>12</v>
      </c>
      <c r="M3">
        <v>960</v>
      </c>
      <c r="N3">
        <v>300</v>
      </c>
      <c r="O3">
        <v>150</v>
      </c>
      <c r="P3">
        <v>100</v>
      </c>
    </row>
    <row r="4" spans="1:16" x14ac:dyDescent="0.3">
      <c r="A4" t="s">
        <v>18</v>
      </c>
      <c r="B4" t="s">
        <v>48</v>
      </c>
      <c r="C4">
        <v>22</v>
      </c>
      <c r="D4">
        <v>28</v>
      </c>
      <c r="E4">
        <v>9</v>
      </c>
      <c r="F4">
        <v>17.8</v>
      </c>
      <c r="G4">
        <v>106.3</v>
      </c>
      <c r="H4" t="s">
        <v>13</v>
      </c>
      <c r="I4">
        <v>14</v>
      </c>
      <c r="J4">
        <v>162</v>
      </c>
      <c r="K4">
        <v>25</v>
      </c>
      <c r="L4" t="s">
        <v>12</v>
      </c>
      <c r="M4">
        <v>950</v>
      </c>
      <c r="N4">
        <v>400</v>
      </c>
      <c r="O4">
        <v>200</v>
      </c>
      <c r="P4">
        <v>150</v>
      </c>
    </row>
    <row r="5" spans="1:16" x14ac:dyDescent="0.3">
      <c r="A5" t="s">
        <v>18</v>
      </c>
      <c r="B5" t="s">
        <v>49</v>
      </c>
      <c r="C5">
        <v>22</v>
      </c>
      <c r="D5">
        <v>29</v>
      </c>
      <c r="E5">
        <v>9</v>
      </c>
      <c r="F5">
        <v>19.8</v>
      </c>
      <c r="G5">
        <v>100.5</v>
      </c>
      <c r="H5" t="s">
        <v>50</v>
      </c>
      <c r="I5">
        <v>5</v>
      </c>
      <c r="J5">
        <v>25</v>
      </c>
      <c r="K5">
        <v>25</v>
      </c>
      <c r="L5" t="s">
        <v>14</v>
      </c>
      <c r="M5">
        <v>1002</v>
      </c>
      <c r="N5">
        <v>500</v>
      </c>
      <c r="O5">
        <v>250</v>
      </c>
      <c r="P5">
        <v>200</v>
      </c>
    </row>
    <row r="9" spans="1:16" x14ac:dyDescent="0.3">
      <c r="G9">
        <f>24*30</f>
        <v>720</v>
      </c>
      <c r="H9">
        <f>G9/111</f>
        <v>6.4864864864864868</v>
      </c>
      <c r="I9">
        <f>106.3-H9</f>
        <v>99.813513513513513</v>
      </c>
    </row>
    <row r="10" spans="1:16" x14ac:dyDescent="0.3">
      <c r="D10">
        <f>107.5-105.1</f>
        <v>2.4000000000000057</v>
      </c>
      <c r="E10">
        <f>2.4*111</f>
        <v>266.39999999999998</v>
      </c>
      <c r="F10">
        <f>E10/12</f>
        <v>22.2</v>
      </c>
    </row>
    <row r="11" spans="1:16" x14ac:dyDescent="0.3">
      <c r="D11">
        <f>105.1-101.5</f>
        <v>3.5999999999999943</v>
      </c>
      <c r="E11">
        <f>D11*111</f>
        <v>399.59999999999934</v>
      </c>
      <c r="F11">
        <f>E11/12</f>
        <v>33.299999999999947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2025-09-24T01:59:47Z</dcterms:created>
  <dcterms:modified xsi:type="dcterms:W3CDTF">2025-09-26T15:35:27Z</dcterms:modified>
</cp:coreProperties>
</file>