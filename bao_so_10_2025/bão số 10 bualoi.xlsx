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bao_so_10_2025\"/>
    </mc:Choice>
  </mc:AlternateContent>
  <xr:revisionPtr revIDLastSave="0" documentId="8_{4E9D56F8-7378-46B7-88F6-EE0A1A0B41A6}" xr6:coauthVersionLast="41" xr6:coauthVersionMax="41" xr10:uidLastSave="{00000000-0000-0000-0000-000000000000}"/>
  <bookViews>
    <workbookView xWindow="-108" yWindow="-108" windowWidth="23256" windowHeight="13176" xr2:uid="{00F592A0-A5BE-4373-8AB0-FFF184126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<sst xmlns="http://schemas.openxmlformats.org/spreadsheetml/2006/main" count="192" uniqueCount="68">
  <si>
    <t>Thời điểm</t>
  </si>
  <si>
    <t>Ngày - giờ</t>
  </si>
  <si>
    <t>thời gian (giờ)</t>
  </si>
  <si>
    <t>ngày</t>
  </si>
  <si>
    <t>tháng</t>
  </si>
  <si>
    <t>lat</t>
  </si>
  <si>
    <t>lon</t>
  </si>
  <si>
    <t>trạng thái</t>
  </si>
  <si>
    <t>cường độ (cấp BF)</t>
  </si>
  <si>
    <t>Vmax (km/h)</t>
  </si>
  <si>
    <t>tốc độ di chuyển (km/h)</t>
  </si>
  <si>
    <t>hướng di chuyển</t>
  </si>
  <si>
    <t>Pmin (mb)</t>
  </si>
  <si>
    <t>bán kính gió mạnh cấp 6 (km)</t>
  </si>
  <si>
    <t>bán kính gió mạnh cấp 10 (km)</t>
  </si>
  <si>
    <t>bán kính tâm (km)</t>
  </si>
  <si>
    <t>quá khứ</t>
  </si>
  <si>
    <t>24/9 - 4h</t>
  </si>
  <si>
    <t>TS</t>
  </si>
  <si>
    <t>Tây</t>
  </si>
  <si>
    <t>24/9 - 7h</t>
  </si>
  <si>
    <t>24/9 - 10h</t>
  </si>
  <si>
    <t>Tây Tây Bắc</t>
  </si>
  <si>
    <t>24/9 - 13h</t>
  </si>
  <si>
    <t>24/9 - 16h</t>
  </si>
  <si>
    <t>24/9 - 19h</t>
  </si>
  <si>
    <t>24/9 - 22h</t>
  </si>
  <si>
    <t>STS</t>
  </si>
  <si>
    <t>25/9 - 4h</t>
  </si>
  <si>
    <t>25/9 - 1h</t>
  </si>
  <si>
    <t>25/9 - 7h</t>
  </si>
  <si>
    <t>25/9 - 10h</t>
  </si>
  <si>
    <t>25/9 - 13h</t>
  </si>
  <si>
    <t>TY</t>
  </si>
  <si>
    <t>25/9 - 16h</t>
  </si>
  <si>
    <t>25/9 - 19h</t>
  </si>
  <si>
    <t>25/9 - 22h</t>
  </si>
  <si>
    <t>26/9 - 1h</t>
  </si>
  <si>
    <t>26/9 - 7h</t>
  </si>
  <si>
    <t>26/9 - 10h</t>
  </si>
  <si>
    <t>26/9 - 13h</t>
  </si>
  <si>
    <t>26/9 - 16h</t>
  </si>
  <si>
    <t>26/9 - 19h</t>
  </si>
  <si>
    <t>26/9 - 22h</t>
  </si>
  <si>
    <t>27/9 - 1h</t>
  </si>
  <si>
    <t>27/9 - 4h</t>
  </si>
  <si>
    <t>27/9 - 7h</t>
  </si>
  <si>
    <t>27/9 - 10h</t>
  </si>
  <si>
    <t>27/9 - 13h</t>
  </si>
  <si>
    <t>27/9 - 16h</t>
  </si>
  <si>
    <t>27/9 - 19h</t>
  </si>
  <si>
    <t>27/9 - 22h</t>
  </si>
  <si>
    <t>28/9 - 1h</t>
  </si>
  <si>
    <t>28/9 - 4h</t>
  </si>
  <si>
    <t>28/9 - 7h</t>
  </si>
  <si>
    <t>28/9 - 10h</t>
  </si>
  <si>
    <t>28/9 - 13h</t>
  </si>
  <si>
    <t>28/9 - 16h</t>
  </si>
  <si>
    <t>28/9 - 19h</t>
  </si>
  <si>
    <t>28/9 - 22h</t>
  </si>
  <si>
    <t>29/9 - 1h</t>
  </si>
  <si>
    <t>29/9 - 4h</t>
  </si>
  <si>
    <t>29/9 - 7h</t>
  </si>
  <si>
    <t>29/9 - 10h</t>
  </si>
  <si>
    <t>29/9 - 13h</t>
  </si>
  <si>
    <t>TD</t>
  </si>
  <si>
    <t>29/9 - 19h</t>
  </si>
  <si>
    <t>vungthap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</si>
</sst>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599D-97E0-45FD-BB4F-612CA7A08D79}">
  <dimension ref="A1:P45"/>
  <sheetViews>
    <sheetView tabSelected="1" workbookViewId="0">
      <selection sqref="A1:P4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4</v>
      </c>
      <c r="D2">
        <v>24</v>
      </c>
      <c r="E2">
        <v>9</v>
      </c>
      <c r="F2">
        <v>10.1</v>
      </c>
      <c r="G2">
        <v>133.30000000000001</v>
      </c>
      <c r="H2" t="s">
        <v>18</v>
      </c>
      <c r="I2">
        <v>8</v>
      </c>
      <c r="J2">
        <v>62</v>
      </c>
      <c r="K2" s="1">
        <f>((G2-G3)*110)/3</f>
        <v>18.333333333333332</v>
      </c>
      <c r="L2" t="s">
        <v>19</v>
      </c>
      <c r="M2">
        <v>1000</v>
      </c>
    </row>
    <row r="3" spans="1:16" x14ac:dyDescent="0.3">
      <c r="A3" t="s">
        <v>16</v>
      </c>
      <c r="B3" t="s">
        <v>20</v>
      </c>
      <c r="C3">
        <v>7</v>
      </c>
      <c r="D3">
        <v>24</v>
      </c>
      <c r="E3">
        <v>9</v>
      </c>
      <c r="F3">
        <v>9.8000000000000007</v>
      </c>
      <c r="G3">
        <v>132.80000000000001</v>
      </c>
      <c r="H3" t="s">
        <v>18</v>
      </c>
      <c r="I3">
        <v>8</v>
      </c>
      <c r="J3">
        <v>70</v>
      </c>
      <c r="K3" s="1">
        <f t="shared" ref="K3:K41" si="0">((G3-G4)*110)/3</f>
        <v>29.333333333333751</v>
      </c>
      <c r="L3" t="s">
        <v>19</v>
      </c>
      <c r="M3">
        <v>996</v>
      </c>
    </row>
    <row r="4" spans="1:16" x14ac:dyDescent="0.3">
      <c r="A4" t="s">
        <v>16</v>
      </c>
      <c r="B4" t="s">
        <v>21</v>
      </c>
      <c r="C4">
        <v>10</v>
      </c>
      <c r="D4">
        <v>24</v>
      </c>
      <c r="E4">
        <v>9</v>
      </c>
      <c r="F4">
        <v>10</v>
      </c>
      <c r="G4">
        <v>132</v>
      </c>
      <c r="H4" t="s">
        <v>18</v>
      </c>
      <c r="I4">
        <v>8</v>
      </c>
      <c r="J4">
        <v>74</v>
      </c>
      <c r="K4" s="1">
        <f t="shared" si="0"/>
        <v>7.3333333333329165</v>
      </c>
      <c r="L4" t="s">
        <v>22</v>
      </c>
      <c r="M4">
        <v>995</v>
      </c>
    </row>
    <row r="5" spans="1:16" x14ac:dyDescent="0.3">
      <c r="A5" t="s">
        <v>16</v>
      </c>
      <c r="B5" t="s">
        <v>23</v>
      </c>
      <c r="C5">
        <v>13</v>
      </c>
      <c r="D5">
        <v>24</v>
      </c>
      <c r="E5">
        <v>9</v>
      </c>
      <c r="F5">
        <v>10.199999999999999</v>
      </c>
      <c r="G5">
        <v>131.80000000000001</v>
      </c>
      <c r="H5" t="s">
        <v>18</v>
      </c>
      <c r="I5">
        <v>8</v>
      </c>
      <c r="J5">
        <v>75</v>
      </c>
      <c r="K5" s="1">
        <f t="shared" si="0"/>
        <v>7.3333333333339583</v>
      </c>
      <c r="L5" t="s">
        <v>22</v>
      </c>
      <c r="M5">
        <v>995</v>
      </c>
    </row>
    <row r="6" spans="1:16" x14ac:dyDescent="0.3">
      <c r="A6" t="s">
        <v>16</v>
      </c>
      <c r="B6" t="s">
        <v>24</v>
      </c>
      <c r="C6">
        <v>16</v>
      </c>
      <c r="D6">
        <v>24</v>
      </c>
      <c r="E6">
        <v>9</v>
      </c>
      <c r="F6">
        <v>10.199999999999999</v>
      </c>
      <c r="G6">
        <v>131.6</v>
      </c>
      <c r="H6" t="s">
        <v>18</v>
      </c>
      <c r="I6">
        <v>8</v>
      </c>
      <c r="J6">
        <v>75</v>
      </c>
      <c r="K6" s="1">
        <f t="shared" si="0"/>
        <v>10.999999999999375</v>
      </c>
      <c r="L6" t="s">
        <v>22</v>
      </c>
      <c r="M6">
        <v>996</v>
      </c>
    </row>
    <row r="7" spans="1:16" x14ac:dyDescent="0.3">
      <c r="A7" t="s">
        <v>16</v>
      </c>
      <c r="B7" t="s">
        <v>25</v>
      </c>
      <c r="C7">
        <v>19</v>
      </c>
      <c r="D7">
        <v>24</v>
      </c>
      <c r="E7">
        <v>9</v>
      </c>
      <c r="F7">
        <v>10.4</v>
      </c>
      <c r="G7">
        <v>131.30000000000001</v>
      </c>
      <c r="H7" t="s">
        <v>18</v>
      </c>
      <c r="I7">
        <v>9</v>
      </c>
      <c r="J7">
        <v>85</v>
      </c>
      <c r="K7" s="1">
        <f t="shared" si="0"/>
        <v>7.3333333333339583</v>
      </c>
      <c r="L7" t="s">
        <v>22</v>
      </c>
      <c r="M7">
        <v>990</v>
      </c>
    </row>
    <row r="8" spans="1:16" x14ac:dyDescent="0.3">
      <c r="A8" t="s">
        <v>16</v>
      </c>
      <c r="B8" t="s">
        <v>26</v>
      </c>
      <c r="C8">
        <v>22</v>
      </c>
      <c r="D8">
        <v>24</v>
      </c>
      <c r="E8">
        <v>9</v>
      </c>
      <c r="F8">
        <v>10.5</v>
      </c>
      <c r="G8">
        <v>131.1</v>
      </c>
      <c r="H8" t="s">
        <v>27</v>
      </c>
      <c r="I8">
        <v>10</v>
      </c>
      <c r="J8">
        <v>90</v>
      </c>
      <c r="K8" s="1">
        <f t="shared" si="0"/>
        <v>33.000000000000206</v>
      </c>
      <c r="L8" t="s">
        <v>22</v>
      </c>
      <c r="M8">
        <v>982</v>
      </c>
    </row>
    <row r="9" spans="1:16" x14ac:dyDescent="0.3">
      <c r="A9" t="s">
        <v>16</v>
      </c>
      <c r="B9" t="s">
        <v>28</v>
      </c>
      <c r="C9">
        <v>1</v>
      </c>
      <c r="D9">
        <v>25</v>
      </c>
      <c r="E9">
        <v>9</v>
      </c>
      <c r="F9">
        <v>10.6</v>
      </c>
      <c r="G9">
        <v>130.19999999999999</v>
      </c>
      <c r="H9" t="s">
        <v>27</v>
      </c>
      <c r="I9">
        <v>10</v>
      </c>
      <c r="J9">
        <v>100</v>
      </c>
      <c r="K9" s="1">
        <f t="shared" si="0"/>
        <v>40.333333333333123</v>
      </c>
      <c r="L9" t="s">
        <v>22</v>
      </c>
      <c r="M9">
        <v>982</v>
      </c>
    </row>
    <row r="10" spans="1:16" x14ac:dyDescent="0.3">
      <c r="A10" t="s">
        <v>16</v>
      </c>
      <c r="B10" t="s">
        <v>29</v>
      </c>
      <c r="C10">
        <v>4</v>
      </c>
      <c r="D10">
        <v>25</v>
      </c>
      <c r="E10">
        <v>9</v>
      </c>
      <c r="F10">
        <v>10.7</v>
      </c>
      <c r="G10">
        <v>129.1</v>
      </c>
      <c r="H10" t="s">
        <v>27</v>
      </c>
      <c r="I10">
        <v>11</v>
      </c>
      <c r="J10">
        <v>110</v>
      </c>
      <c r="K10" s="1">
        <f t="shared" si="0"/>
        <v>29.333333333332707</v>
      </c>
      <c r="L10" t="s">
        <v>22</v>
      </c>
      <c r="M10">
        <v>980</v>
      </c>
    </row>
    <row r="11" spans="1:16" x14ac:dyDescent="0.3">
      <c r="A11" t="s">
        <v>16</v>
      </c>
      <c r="B11" t="s">
        <v>30</v>
      </c>
      <c r="C11">
        <v>7</v>
      </c>
      <c r="D11">
        <v>25</v>
      </c>
      <c r="E11">
        <v>9</v>
      </c>
      <c r="F11">
        <v>10.8</v>
      </c>
      <c r="G11">
        <v>128.30000000000001</v>
      </c>
      <c r="H11" t="s">
        <v>27</v>
      </c>
      <c r="I11">
        <v>11</v>
      </c>
      <c r="J11">
        <v>115</v>
      </c>
      <c r="K11" s="1">
        <f t="shared" si="0"/>
        <v>14.666666666666876</v>
      </c>
      <c r="L11" t="s">
        <v>22</v>
      </c>
      <c r="M11">
        <v>980</v>
      </c>
    </row>
    <row r="12" spans="1:16" x14ac:dyDescent="0.3">
      <c r="A12" t="s">
        <v>16</v>
      </c>
      <c r="B12" t="s">
        <v>31</v>
      </c>
      <c r="C12">
        <v>10</v>
      </c>
      <c r="D12">
        <v>25</v>
      </c>
      <c r="E12">
        <v>9</v>
      </c>
      <c r="F12">
        <v>10.9</v>
      </c>
      <c r="G12">
        <v>127.9</v>
      </c>
      <c r="H12" t="s">
        <v>27</v>
      </c>
      <c r="I12">
        <v>11</v>
      </c>
      <c r="J12">
        <v>117</v>
      </c>
      <c r="K12" s="1">
        <f t="shared" si="0"/>
        <v>18.333333333333332</v>
      </c>
      <c r="L12" t="s">
        <v>22</v>
      </c>
      <c r="M12">
        <v>980</v>
      </c>
    </row>
    <row r="13" spans="1:16" x14ac:dyDescent="0.3">
      <c r="A13" t="s">
        <v>16</v>
      </c>
      <c r="B13" t="s">
        <v>32</v>
      </c>
      <c r="C13">
        <v>13</v>
      </c>
      <c r="D13">
        <v>25</v>
      </c>
      <c r="E13">
        <v>9</v>
      </c>
      <c r="F13">
        <v>11</v>
      </c>
      <c r="G13">
        <v>127.4</v>
      </c>
      <c r="H13" t="s">
        <v>33</v>
      </c>
      <c r="I13">
        <v>12</v>
      </c>
      <c r="J13">
        <v>120</v>
      </c>
      <c r="K13" s="1">
        <f t="shared" si="0"/>
        <v>7.3333333333334378</v>
      </c>
      <c r="L13" t="s">
        <v>22</v>
      </c>
      <c r="M13">
        <v>975</v>
      </c>
    </row>
    <row r="14" spans="1:16" x14ac:dyDescent="0.3">
      <c r="A14" t="s">
        <v>16</v>
      </c>
      <c r="B14" t="s">
        <v>34</v>
      </c>
      <c r="C14">
        <v>16</v>
      </c>
      <c r="D14">
        <v>25</v>
      </c>
      <c r="E14">
        <v>9</v>
      </c>
      <c r="F14">
        <v>11.5</v>
      </c>
      <c r="G14">
        <v>127.2</v>
      </c>
      <c r="H14" t="s">
        <v>33</v>
      </c>
      <c r="I14">
        <v>12</v>
      </c>
      <c r="J14">
        <v>130</v>
      </c>
      <c r="K14" s="1">
        <f t="shared" si="0"/>
        <v>14.666666666666876</v>
      </c>
      <c r="L14" t="s">
        <v>22</v>
      </c>
      <c r="M14">
        <v>970</v>
      </c>
    </row>
    <row r="15" spans="1:16" x14ac:dyDescent="0.3">
      <c r="A15" t="s">
        <v>16</v>
      </c>
      <c r="B15" t="s">
        <v>35</v>
      </c>
      <c r="C15">
        <v>19</v>
      </c>
      <c r="D15">
        <v>25</v>
      </c>
      <c r="E15">
        <v>9</v>
      </c>
      <c r="F15">
        <v>11.7</v>
      </c>
      <c r="G15">
        <v>126.8</v>
      </c>
      <c r="H15" t="s">
        <v>33</v>
      </c>
      <c r="I15">
        <v>12</v>
      </c>
      <c r="J15">
        <v>126</v>
      </c>
      <c r="K15" s="1">
        <f t="shared" si="0"/>
        <v>25.666666666666771</v>
      </c>
      <c r="L15" t="s">
        <v>22</v>
      </c>
      <c r="M15">
        <v>970</v>
      </c>
    </row>
    <row r="16" spans="1:16" x14ac:dyDescent="0.3">
      <c r="A16" t="s">
        <v>16</v>
      </c>
      <c r="B16" t="s">
        <v>36</v>
      </c>
      <c r="C16">
        <v>22</v>
      </c>
      <c r="D16">
        <v>25</v>
      </c>
      <c r="E16">
        <v>9</v>
      </c>
      <c r="F16">
        <v>11.8</v>
      </c>
      <c r="G16">
        <v>126.1</v>
      </c>
      <c r="H16" t="s">
        <v>33</v>
      </c>
      <c r="I16">
        <v>12</v>
      </c>
      <c r="J16">
        <v>128</v>
      </c>
      <c r="K16" s="1">
        <f t="shared" si="0"/>
        <v>43.999999999999581</v>
      </c>
      <c r="L16" t="s">
        <v>22</v>
      </c>
      <c r="M16">
        <v>970</v>
      </c>
    </row>
    <row r="17" spans="1:13" x14ac:dyDescent="0.3">
      <c r="A17" t="s">
        <v>16</v>
      </c>
      <c r="B17" t="s">
        <v>37</v>
      </c>
      <c r="C17">
        <v>1</v>
      </c>
      <c r="D17">
        <v>26</v>
      </c>
      <c r="E17">
        <v>9</v>
      </c>
      <c r="F17">
        <v>12.1</v>
      </c>
      <c r="G17">
        <v>124.9</v>
      </c>
      <c r="H17" t="s">
        <v>33</v>
      </c>
      <c r="I17">
        <v>12</v>
      </c>
      <c r="J17">
        <v>130</v>
      </c>
      <c r="K17" s="1">
        <f t="shared" si="0"/>
        <v>29.333333333333751</v>
      </c>
      <c r="L17" t="s">
        <v>22</v>
      </c>
      <c r="M17">
        <v>975</v>
      </c>
    </row>
    <row r="18" spans="1:13" x14ac:dyDescent="0.3">
      <c r="A18" t="s">
        <v>16</v>
      </c>
      <c r="B18" t="s">
        <v>38</v>
      </c>
      <c r="C18">
        <v>4</v>
      </c>
      <c r="D18">
        <v>26</v>
      </c>
      <c r="E18">
        <v>9</v>
      </c>
      <c r="F18">
        <v>12.4</v>
      </c>
      <c r="G18">
        <v>124.1</v>
      </c>
      <c r="H18" t="s">
        <v>27</v>
      </c>
      <c r="I18">
        <v>11</v>
      </c>
      <c r="J18">
        <v>105</v>
      </c>
      <c r="K18" s="1">
        <f t="shared" si="0"/>
        <v>47.666666666666565</v>
      </c>
      <c r="L18" t="s">
        <v>22</v>
      </c>
      <c r="M18">
        <v>980</v>
      </c>
    </row>
    <row r="19" spans="1:13" x14ac:dyDescent="0.3">
      <c r="A19" t="s">
        <v>16</v>
      </c>
      <c r="B19" t="s">
        <v>39</v>
      </c>
      <c r="C19">
        <v>7</v>
      </c>
      <c r="D19">
        <v>26</v>
      </c>
      <c r="E19">
        <v>9</v>
      </c>
      <c r="F19">
        <v>12.3</v>
      </c>
      <c r="G19">
        <v>122.8</v>
      </c>
      <c r="H19" t="s">
        <v>27</v>
      </c>
      <c r="I19">
        <v>11</v>
      </c>
      <c r="J19">
        <v>110</v>
      </c>
      <c r="K19" s="1">
        <f t="shared" si="0"/>
        <v>29.333333333333229</v>
      </c>
      <c r="L19" t="s">
        <v>22</v>
      </c>
      <c r="M19">
        <v>980</v>
      </c>
    </row>
    <row r="20" spans="1:13" x14ac:dyDescent="0.3">
      <c r="A20" t="s">
        <v>16</v>
      </c>
      <c r="B20" t="s">
        <v>40</v>
      </c>
      <c r="C20">
        <v>10</v>
      </c>
      <c r="D20">
        <v>26</v>
      </c>
      <c r="E20">
        <v>9</v>
      </c>
      <c r="F20">
        <v>12.4</v>
      </c>
      <c r="G20">
        <v>122</v>
      </c>
      <c r="H20" t="s">
        <v>27</v>
      </c>
      <c r="I20">
        <v>11</v>
      </c>
      <c r="J20">
        <v>115</v>
      </c>
      <c r="K20" s="1">
        <f t="shared" si="0"/>
        <v>29.333333333333229</v>
      </c>
      <c r="L20" t="s">
        <v>22</v>
      </c>
      <c r="M20">
        <v>980</v>
      </c>
    </row>
    <row r="21" spans="1:13" x14ac:dyDescent="0.3">
      <c r="A21" t="s">
        <v>16</v>
      </c>
      <c r="B21" t="s">
        <v>41</v>
      </c>
      <c r="C21">
        <v>13</v>
      </c>
      <c r="D21">
        <v>26</v>
      </c>
      <c r="E21">
        <v>9</v>
      </c>
      <c r="F21">
        <v>12.8</v>
      </c>
      <c r="G21">
        <v>121.2</v>
      </c>
      <c r="H21" t="s">
        <v>27</v>
      </c>
      <c r="I21">
        <v>11</v>
      </c>
      <c r="J21">
        <v>115</v>
      </c>
      <c r="K21" s="1">
        <f t="shared" si="0"/>
        <v>36.666666666666664</v>
      </c>
      <c r="L21" t="s">
        <v>22</v>
      </c>
      <c r="M21">
        <v>980</v>
      </c>
    </row>
    <row r="22" spans="1:13" x14ac:dyDescent="0.3">
      <c r="A22" t="s">
        <v>16</v>
      </c>
      <c r="B22" t="s">
        <v>42</v>
      </c>
      <c r="C22">
        <v>16</v>
      </c>
      <c r="D22">
        <v>26</v>
      </c>
      <c r="E22">
        <v>9</v>
      </c>
      <c r="F22">
        <v>13</v>
      </c>
      <c r="G22">
        <v>120.2</v>
      </c>
      <c r="H22" t="s">
        <v>27</v>
      </c>
      <c r="I22">
        <v>11</v>
      </c>
      <c r="J22">
        <v>115</v>
      </c>
      <c r="K22" s="1">
        <f t="shared" si="0"/>
        <v>73.333333333333329</v>
      </c>
      <c r="L22" t="s">
        <v>22</v>
      </c>
      <c r="M22">
        <v>980</v>
      </c>
    </row>
    <row r="23" spans="1:13" x14ac:dyDescent="0.3">
      <c r="A23" t="s">
        <v>16</v>
      </c>
      <c r="B23" t="s">
        <v>43</v>
      </c>
      <c r="C23">
        <v>22</v>
      </c>
      <c r="D23">
        <v>26</v>
      </c>
      <c r="E23">
        <v>9</v>
      </c>
      <c r="F23">
        <v>13.6</v>
      </c>
      <c r="G23">
        <v>118.2</v>
      </c>
      <c r="H23" t="s">
        <v>33</v>
      </c>
      <c r="I23">
        <v>12</v>
      </c>
      <c r="J23">
        <v>140</v>
      </c>
      <c r="K23" s="1">
        <f t="shared" si="0"/>
        <v>14.666666666666876</v>
      </c>
      <c r="L23" t="s">
        <v>22</v>
      </c>
      <c r="M23">
        <v>980</v>
      </c>
    </row>
    <row r="24" spans="1:13" x14ac:dyDescent="0.3">
      <c r="A24" t="s">
        <v>16</v>
      </c>
      <c r="B24" t="s">
        <v>44</v>
      </c>
      <c r="C24">
        <v>1</v>
      </c>
      <c r="D24">
        <v>27</v>
      </c>
      <c r="E24">
        <v>9</v>
      </c>
      <c r="F24">
        <v>13.9</v>
      </c>
      <c r="G24">
        <v>117.8</v>
      </c>
      <c r="H24" t="s">
        <v>33</v>
      </c>
      <c r="I24">
        <v>12</v>
      </c>
      <c r="J24">
        <v>120</v>
      </c>
      <c r="K24" s="1">
        <f t="shared" si="0"/>
        <v>55</v>
      </c>
      <c r="L24" t="s">
        <v>22</v>
      </c>
      <c r="M24">
        <v>975</v>
      </c>
    </row>
    <row r="25" spans="1:13" x14ac:dyDescent="0.3">
      <c r="A25" t="s">
        <v>16</v>
      </c>
      <c r="B25" t="s">
        <v>45</v>
      </c>
      <c r="C25">
        <v>4</v>
      </c>
      <c r="D25">
        <v>27</v>
      </c>
      <c r="E25">
        <v>9</v>
      </c>
      <c r="F25">
        <v>14.1</v>
      </c>
      <c r="G25">
        <v>116.3</v>
      </c>
      <c r="H25" t="s">
        <v>33</v>
      </c>
      <c r="I25">
        <v>12</v>
      </c>
      <c r="J25">
        <v>125</v>
      </c>
      <c r="K25" s="1">
        <f t="shared" si="0"/>
        <v>25.666666666666771</v>
      </c>
      <c r="L25" t="s">
        <v>22</v>
      </c>
      <c r="M25">
        <v>975</v>
      </c>
    </row>
    <row r="26" spans="1:13" x14ac:dyDescent="0.3">
      <c r="A26" t="s">
        <v>16</v>
      </c>
      <c r="B26" t="s">
        <v>46</v>
      </c>
      <c r="C26">
        <v>7</v>
      </c>
      <c r="D26">
        <v>27</v>
      </c>
      <c r="E26">
        <v>9</v>
      </c>
      <c r="F26">
        <v>14.4</v>
      </c>
      <c r="G26">
        <v>115.6</v>
      </c>
      <c r="H26" t="s">
        <v>33</v>
      </c>
      <c r="I26">
        <v>12</v>
      </c>
      <c r="J26">
        <v>130</v>
      </c>
      <c r="K26" s="1">
        <f t="shared" si="0"/>
        <v>25.666666666666249</v>
      </c>
      <c r="L26" t="s">
        <v>22</v>
      </c>
      <c r="M26">
        <v>975</v>
      </c>
    </row>
    <row r="27" spans="1:13" x14ac:dyDescent="0.3">
      <c r="A27" t="s">
        <v>16</v>
      </c>
      <c r="B27" t="s">
        <v>47</v>
      </c>
      <c r="C27">
        <v>10</v>
      </c>
      <c r="D27">
        <v>27</v>
      </c>
      <c r="E27">
        <v>9</v>
      </c>
      <c r="F27">
        <v>14.7</v>
      </c>
      <c r="G27">
        <v>114.9</v>
      </c>
      <c r="H27" t="s">
        <v>33</v>
      </c>
      <c r="I27">
        <v>12</v>
      </c>
      <c r="J27">
        <v>131</v>
      </c>
      <c r="K27" s="1">
        <f t="shared" si="0"/>
        <v>33.000000000000206</v>
      </c>
      <c r="L27" t="s">
        <v>22</v>
      </c>
      <c r="M27">
        <v>970</v>
      </c>
    </row>
    <row r="28" spans="1:13" x14ac:dyDescent="0.3">
      <c r="A28" t="s">
        <v>16</v>
      </c>
      <c r="B28" t="s">
        <v>48</v>
      </c>
      <c r="C28">
        <v>13</v>
      </c>
      <c r="D28">
        <v>27</v>
      </c>
      <c r="E28">
        <v>9</v>
      </c>
      <c r="F28">
        <v>15</v>
      </c>
      <c r="G28">
        <v>114</v>
      </c>
      <c r="H28" t="s">
        <v>33</v>
      </c>
      <c r="I28">
        <v>12</v>
      </c>
      <c r="J28">
        <v>133</v>
      </c>
      <c r="K28" s="1">
        <f t="shared" si="0"/>
        <v>40.333333333333123</v>
      </c>
      <c r="L28" t="s">
        <v>22</v>
      </c>
      <c r="M28">
        <v>975</v>
      </c>
    </row>
    <row r="29" spans="1:13" x14ac:dyDescent="0.3">
      <c r="A29" t="s">
        <v>16</v>
      </c>
      <c r="B29" t="s">
        <v>49</v>
      </c>
      <c r="C29">
        <v>16</v>
      </c>
      <c r="D29">
        <v>27</v>
      </c>
      <c r="E29">
        <v>9</v>
      </c>
      <c r="F29">
        <v>15.5</v>
      </c>
      <c r="G29">
        <v>112.9</v>
      </c>
      <c r="H29" t="s">
        <v>33</v>
      </c>
      <c r="I29">
        <v>12</v>
      </c>
      <c r="J29">
        <v>133</v>
      </c>
      <c r="K29" s="1">
        <f t="shared" si="0"/>
        <v>33.000000000000206</v>
      </c>
      <c r="L29" t="s">
        <v>22</v>
      </c>
      <c r="M29">
        <v>975</v>
      </c>
    </row>
    <row r="30" spans="1:13" x14ac:dyDescent="0.3">
      <c r="A30" t="s">
        <v>16</v>
      </c>
      <c r="B30" t="s">
        <v>50</v>
      </c>
      <c r="C30">
        <v>19</v>
      </c>
      <c r="D30">
        <v>27</v>
      </c>
      <c r="E30">
        <v>9</v>
      </c>
      <c r="F30">
        <v>15.8</v>
      </c>
      <c r="G30">
        <v>112</v>
      </c>
      <c r="H30" t="s">
        <v>33</v>
      </c>
      <c r="I30">
        <v>12</v>
      </c>
      <c r="J30">
        <v>133</v>
      </c>
      <c r="K30" s="1">
        <f t="shared" si="0"/>
        <v>25.666666666666771</v>
      </c>
      <c r="L30" t="s">
        <v>22</v>
      </c>
      <c r="M30">
        <v>975</v>
      </c>
    </row>
    <row r="31" spans="1:13" x14ac:dyDescent="0.3">
      <c r="A31" t="s">
        <v>16</v>
      </c>
      <c r="B31" t="s">
        <v>51</v>
      </c>
      <c r="C31">
        <v>22</v>
      </c>
      <c r="D31">
        <v>27</v>
      </c>
      <c r="E31">
        <v>9</v>
      </c>
      <c r="F31">
        <v>15.7</v>
      </c>
      <c r="G31">
        <v>111.3</v>
      </c>
      <c r="H31" t="s">
        <v>33</v>
      </c>
      <c r="I31">
        <v>12</v>
      </c>
      <c r="J31">
        <v>133</v>
      </c>
      <c r="K31" s="1">
        <f t="shared" si="0"/>
        <v>21.99999999999979</v>
      </c>
      <c r="L31" t="s">
        <v>22</v>
      </c>
      <c r="M31">
        <v>970</v>
      </c>
    </row>
    <row r="32" spans="1:13" x14ac:dyDescent="0.3">
      <c r="A32" t="s">
        <v>16</v>
      </c>
      <c r="B32" t="s">
        <v>52</v>
      </c>
      <c r="C32">
        <v>1</v>
      </c>
      <c r="D32">
        <v>28</v>
      </c>
      <c r="E32">
        <v>9</v>
      </c>
      <c r="F32">
        <v>15.9</v>
      </c>
      <c r="G32">
        <v>110.7</v>
      </c>
      <c r="H32" t="s">
        <v>33</v>
      </c>
      <c r="I32">
        <v>12</v>
      </c>
      <c r="J32">
        <v>133</v>
      </c>
      <c r="K32" s="1">
        <f t="shared" si="0"/>
        <v>25.666666666666771</v>
      </c>
      <c r="L32" t="s">
        <v>22</v>
      </c>
      <c r="M32">
        <v>970</v>
      </c>
    </row>
    <row r="33" spans="1:13" x14ac:dyDescent="0.3">
      <c r="A33" t="s">
        <v>16</v>
      </c>
      <c r="B33" t="s">
        <v>53</v>
      </c>
      <c r="C33">
        <v>4</v>
      </c>
      <c r="D33">
        <v>28</v>
      </c>
      <c r="E33">
        <v>9</v>
      </c>
      <c r="F33">
        <v>16</v>
      </c>
      <c r="G33">
        <v>110</v>
      </c>
      <c r="H33" t="s">
        <v>33</v>
      </c>
      <c r="I33">
        <v>12</v>
      </c>
      <c r="J33">
        <v>133</v>
      </c>
      <c r="K33" s="1">
        <f t="shared" si="0"/>
        <v>18.333333333333332</v>
      </c>
      <c r="L33" t="s">
        <v>22</v>
      </c>
      <c r="M33">
        <v>970</v>
      </c>
    </row>
    <row r="34" spans="1:13" x14ac:dyDescent="0.3">
      <c r="A34" t="s">
        <v>16</v>
      </c>
      <c r="B34" t="s">
        <v>54</v>
      </c>
      <c r="C34">
        <v>7</v>
      </c>
      <c r="D34">
        <v>28</v>
      </c>
      <c r="E34">
        <v>9</v>
      </c>
      <c r="F34">
        <v>16.600000000000001</v>
      </c>
      <c r="G34">
        <v>109.5</v>
      </c>
      <c r="H34" t="s">
        <v>33</v>
      </c>
      <c r="I34">
        <v>12</v>
      </c>
      <c r="J34">
        <v>133</v>
      </c>
      <c r="K34" s="1">
        <f t="shared" si="0"/>
        <v>21.99999999999979</v>
      </c>
      <c r="L34" t="s">
        <v>22</v>
      </c>
      <c r="M34">
        <v>970</v>
      </c>
    </row>
    <row r="35" spans="1:13" x14ac:dyDescent="0.3">
      <c r="A35" t="s">
        <v>16</v>
      </c>
      <c r="B35" t="s">
        <v>55</v>
      </c>
      <c r="C35">
        <v>10</v>
      </c>
      <c r="D35">
        <v>28</v>
      </c>
      <c r="E35">
        <v>9</v>
      </c>
      <c r="F35">
        <v>16.899999999999999</v>
      </c>
      <c r="G35">
        <v>108.9</v>
      </c>
      <c r="H35" t="s">
        <v>33</v>
      </c>
      <c r="I35">
        <v>12</v>
      </c>
      <c r="J35">
        <v>133</v>
      </c>
      <c r="K35" s="1">
        <f t="shared" si="0"/>
        <v>25.666666666666771</v>
      </c>
      <c r="L35" t="s">
        <v>22</v>
      </c>
      <c r="M35">
        <v>970</v>
      </c>
    </row>
    <row r="36" spans="1:13" x14ac:dyDescent="0.3">
      <c r="A36" t="s">
        <v>16</v>
      </c>
      <c r="B36" t="s">
        <v>56</v>
      </c>
      <c r="C36">
        <v>13</v>
      </c>
      <c r="D36">
        <v>28</v>
      </c>
      <c r="E36">
        <v>9</v>
      </c>
      <c r="F36">
        <v>17.100000000000001</v>
      </c>
      <c r="G36">
        <v>108.2</v>
      </c>
      <c r="H36" t="s">
        <v>33</v>
      </c>
      <c r="I36">
        <v>12</v>
      </c>
      <c r="J36">
        <v>126</v>
      </c>
      <c r="K36" s="1">
        <f t="shared" si="0"/>
        <v>18.333333333333332</v>
      </c>
      <c r="L36" t="s">
        <v>22</v>
      </c>
      <c r="M36">
        <v>970</v>
      </c>
    </row>
    <row r="37" spans="1:13" x14ac:dyDescent="0.3">
      <c r="A37" t="s">
        <v>16</v>
      </c>
      <c r="B37" t="s">
        <v>57</v>
      </c>
      <c r="C37">
        <v>16</v>
      </c>
      <c r="D37">
        <v>28</v>
      </c>
      <c r="E37">
        <v>9</v>
      </c>
      <c r="F37">
        <v>17.399999999999999</v>
      </c>
      <c r="G37">
        <v>107.7</v>
      </c>
      <c r="H37" t="s">
        <v>33</v>
      </c>
      <c r="I37">
        <v>12</v>
      </c>
      <c r="J37">
        <v>126</v>
      </c>
      <c r="K37" s="1">
        <f t="shared" si="0"/>
        <v>14.666666666666876</v>
      </c>
      <c r="L37" t="s">
        <v>22</v>
      </c>
      <c r="M37">
        <v>970</v>
      </c>
    </row>
    <row r="38" spans="1:13" x14ac:dyDescent="0.3">
      <c r="A38" t="s">
        <v>16</v>
      </c>
      <c r="B38" t="s">
        <v>58</v>
      </c>
      <c r="C38">
        <v>19</v>
      </c>
      <c r="D38">
        <v>28</v>
      </c>
      <c r="E38">
        <v>9</v>
      </c>
      <c r="F38">
        <v>17.7</v>
      </c>
      <c r="G38">
        <v>107.3</v>
      </c>
      <c r="H38" t="s">
        <v>33</v>
      </c>
      <c r="I38">
        <v>12</v>
      </c>
      <c r="J38">
        <v>126</v>
      </c>
      <c r="K38" s="1">
        <f t="shared" si="0"/>
        <v>18.333333333333332</v>
      </c>
      <c r="L38" t="s">
        <v>22</v>
      </c>
      <c r="M38">
        <v>970</v>
      </c>
    </row>
    <row r="39" spans="1:13" x14ac:dyDescent="0.3">
      <c r="A39" t="s">
        <v>16</v>
      </c>
      <c r="B39" t="s">
        <v>59</v>
      </c>
      <c r="C39">
        <v>22</v>
      </c>
      <c r="D39">
        <v>28</v>
      </c>
      <c r="E39">
        <v>9</v>
      </c>
      <c r="F39">
        <v>17.899999999999999</v>
      </c>
      <c r="G39">
        <v>106.8</v>
      </c>
      <c r="H39" t="s">
        <v>33</v>
      </c>
      <c r="I39">
        <v>12</v>
      </c>
      <c r="J39">
        <v>119</v>
      </c>
      <c r="K39" s="1">
        <f t="shared" si="0"/>
        <v>21.99999999999979</v>
      </c>
      <c r="L39" t="s">
        <v>22</v>
      </c>
      <c r="M39">
        <v>970</v>
      </c>
    </row>
    <row r="40" spans="1:13" x14ac:dyDescent="0.3">
      <c r="A40" t="s">
        <v>16</v>
      </c>
      <c r="B40" t="s">
        <v>60</v>
      </c>
      <c r="C40">
        <v>1</v>
      </c>
      <c r="D40">
        <v>29</v>
      </c>
      <c r="E40">
        <v>9</v>
      </c>
      <c r="F40">
        <v>18.2</v>
      </c>
      <c r="G40">
        <v>106.2</v>
      </c>
      <c r="H40" t="s">
        <v>27</v>
      </c>
      <c r="I40">
        <v>11</v>
      </c>
      <c r="J40">
        <v>110</v>
      </c>
      <c r="K40" s="1">
        <f t="shared" si="0"/>
        <v>18.333333333333332</v>
      </c>
      <c r="L40" t="s">
        <v>22</v>
      </c>
      <c r="M40">
        <v>980</v>
      </c>
    </row>
    <row r="41" spans="1:13" x14ac:dyDescent="0.3">
      <c r="A41" t="s">
        <v>16</v>
      </c>
      <c r="B41" t="s">
        <v>61</v>
      </c>
      <c r="C41">
        <v>4</v>
      </c>
      <c r="D41">
        <v>29</v>
      </c>
      <c r="E41">
        <v>9</v>
      </c>
      <c r="F41">
        <v>18.399999999999999</v>
      </c>
      <c r="G41">
        <v>105.7</v>
      </c>
      <c r="H41" t="s">
        <v>27</v>
      </c>
      <c r="I41">
        <v>10</v>
      </c>
      <c r="J41">
        <v>100</v>
      </c>
      <c r="K41" s="1">
        <f t="shared" si="0"/>
        <v>22.000000000000313</v>
      </c>
      <c r="L41" t="s">
        <v>22</v>
      </c>
      <c r="M41">
        <v>985</v>
      </c>
    </row>
    <row r="42" spans="1:13" x14ac:dyDescent="0.3">
      <c r="A42" t="s">
        <v>16</v>
      </c>
      <c r="B42" t="s">
        <v>62</v>
      </c>
      <c r="C42">
        <v>7</v>
      </c>
      <c r="D42">
        <v>29</v>
      </c>
      <c r="E42">
        <v>9</v>
      </c>
      <c r="F42">
        <v>18.7</v>
      </c>
      <c r="G42">
        <v>105.1</v>
      </c>
      <c r="H42" t="s">
        <v>18</v>
      </c>
      <c r="I42">
        <v>9</v>
      </c>
      <c r="J42">
        <v>85</v>
      </c>
      <c r="K42" s="1">
        <f>((G42-G43)*110)/6</f>
        <v>14.666666666666615</v>
      </c>
      <c r="L42" t="s">
        <v>22</v>
      </c>
      <c r="M42">
        <v>995</v>
      </c>
    </row>
    <row r="43" spans="1:13" x14ac:dyDescent="0.3">
      <c r="A43" t="s">
        <v>16</v>
      </c>
      <c r="B43" t="s">
        <v>63</v>
      </c>
      <c r="C43">
        <v>10</v>
      </c>
      <c r="D43">
        <v>29</v>
      </c>
      <c r="E43">
        <v>9</v>
      </c>
      <c r="F43">
        <v>19.3</v>
      </c>
      <c r="G43">
        <v>104.3</v>
      </c>
      <c r="H43" t="s">
        <v>18</v>
      </c>
      <c r="I43">
        <v>8</v>
      </c>
      <c r="J43">
        <v>70</v>
      </c>
      <c r="K43" s="1">
        <f>((G43-G44)*110)/6</f>
        <v>12.833333333333385</v>
      </c>
      <c r="L43" t="s">
        <v>22</v>
      </c>
      <c r="M43">
        <v>998</v>
      </c>
    </row>
    <row r="44" spans="1:13" x14ac:dyDescent="0.3">
      <c r="A44" t="s">
        <v>16</v>
      </c>
      <c r="B44" t="s">
        <v>64</v>
      </c>
      <c r="C44">
        <v>13</v>
      </c>
      <c r="D44">
        <v>29</v>
      </c>
      <c r="E44">
        <v>9</v>
      </c>
      <c r="F44">
        <v>19.5</v>
      </c>
      <c r="G44">
        <v>103.6</v>
      </c>
      <c r="H44" t="s">
        <v>65</v>
      </c>
      <c r="I44" s="2">
        <v>6</v>
      </c>
      <c r="J44">
        <v>49</v>
      </c>
      <c r="K44" s="1">
        <v>20</v>
      </c>
      <c r="L44" t="s">
        <v>22</v>
      </c>
      <c r="M44">
        <v>1000</v>
      </c>
    </row>
    <row r="45" spans="1:13" x14ac:dyDescent="0.3">
      <c r="A45" t="s">
        <v>16</v>
      </c>
      <c r="B45" t="s">
        <v>66</v>
      </c>
      <c r="C45">
        <v>19</v>
      </c>
      <c r="D45">
        <v>29</v>
      </c>
      <c r="E45">
        <v>9</v>
      </c>
      <c r="F45">
        <v>20.6</v>
      </c>
      <c r="G45">
        <v>101.8</v>
      </c>
      <c r="H45" t="s">
        <v>67</v>
      </c>
      <c r="I45">
        <v>5</v>
      </c>
      <c r="J45">
        <v>25</v>
      </c>
      <c r="K45" s="1">
        <v>20</v>
      </c>
      <c r="L45" t="s">
        <v>22</v>
      </c>
      <c r="M45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2025-09-30T02:27:50Z</dcterms:created>
  <dcterms:modified xsi:type="dcterms:W3CDTF">2025-09-30T02:28:06Z</dcterms:modified>
</cp:coreProperties>
</file>